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800" windowHeight="12375"/>
  </bookViews>
  <sheets>
    <sheet name="统计" sheetId="4" r:id="rId1"/>
    <sheet name="专利" sheetId="5" r:id="rId2"/>
  </sheets>
  <externalReferences>
    <externalReference r:id="rId3"/>
    <externalReference r:id="rId4"/>
    <externalReference r:id="rId5"/>
  </externalReferences>
  <definedNames>
    <definedName name="_xlnm._FilterDatabase" localSheetId="1" hidden="1">专利!$A$2:$J$137</definedName>
    <definedName name="_xlnm.Print_Area" localSheetId="0">统计!$C:$L</definedName>
    <definedName name="_xlnm.Print_Area" localSheetId="1">专利!$A:$G</definedName>
    <definedName name="_xlnm.Print_Titles" localSheetId="1">专利!$2:$2</definedName>
    <definedName name="版块">[1]项目性质!$K$1:$K$7</definedName>
    <definedName name="电力建设类">[2]数据源!$I$4:$I$7</definedName>
    <definedName name="电力生产类">[2]数据源!$H$4:$H$7</definedName>
    <definedName name="发电企业">[3]电厂!$C$2:$C$189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4" l="1" a="1"/>
  <c r="L3" i="4" s="1"/>
  <c r="V3" i="4"/>
  <c r="U3" i="4"/>
  <c r="T3" i="4"/>
  <c r="S3" i="4"/>
  <c r="R3" i="4"/>
  <c r="Q3" i="4"/>
  <c r="P3" i="4"/>
  <c r="O3" i="4"/>
  <c r="N3" i="4"/>
  <c r="K3" i="4"/>
  <c r="J3" i="4"/>
  <c r="L4" i="4" a="1"/>
  <c r="P4" i="4" a="1"/>
  <c r="R4" i="4" a="1"/>
  <c r="S4" i="4" a="1"/>
  <c r="T4" i="4" a="1"/>
  <c r="V4" i="4" a="1"/>
  <c r="Q4" i="4" a="1"/>
  <c r="U4" i="4" a="1"/>
  <c r="O4" i="4" a="1"/>
  <c r="N4" i="4" a="1"/>
  <c r="K4" i="4" a="1"/>
  <c r="J4" i="4" a="1"/>
  <c r="L4" i="4" l="1"/>
  <c r="U4" i="4"/>
  <c r="Q4" i="4"/>
  <c r="V4" i="4"/>
  <c r="T4" i="4"/>
  <c r="S4" i="4"/>
  <c r="R4" i="4"/>
  <c r="P4" i="4"/>
  <c r="O4" i="4"/>
  <c r="N4" i="4"/>
  <c r="K4" i="4"/>
  <c r="J4" i="4"/>
  <c r="F8" i="4"/>
  <c r="F7" i="4"/>
  <c r="F6" i="4"/>
  <c r="F5" i="4"/>
  <c r="D4" i="4" a="1"/>
  <c r="D4" i="4" s="1"/>
  <c r="D3" i="4"/>
  <c r="H6" i="4" a="1"/>
  <c r="D5" i="4"/>
  <c r="D8" i="4" a="1"/>
  <c r="D7" i="4" a="1"/>
  <c r="J6" i="4" a="1"/>
  <c r="D6" i="4" a="1"/>
  <c r="H7" i="4" a="1"/>
  <c r="H8" i="4" a="1"/>
  <c r="H8" i="4"/>
  <c r="H7" i="4"/>
  <c r="H6" i="4" l="1"/>
  <c r="I6" i="4" s="1"/>
  <c r="D8" i="4"/>
  <c r="D7" i="4"/>
  <c r="J6" i="4"/>
  <c r="D6" i="4"/>
  <c r="I7" i="4"/>
  <c r="I8" i="4"/>
</calcChain>
</file>

<file path=xl/comments1.xml><?xml version="1.0" encoding="utf-8"?>
<comments xmlns="http://schemas.openxmlformats.org/spreadsheetml/2006/main">
  <authors>
    <author>David</author>
  </authors>
  <commentList>
    <comment ref="F5" authorId="0">
      <text>
        <r>
          <rPr>
            <b/>
            <sz val="9"/>
            <color indexed="81"/>
            <rFont val="宋体"/>
            <family val="3"/>
            <charset val="134"/>
          </rPr>
          <t>David:</t>
        </r>
        <r>
          <rPr>
            <sz val="9"/>
            <color indexed="81"/>
            <rFont val="宋体"/>
            <family val="3"/>
            <charset val="134"/>
          </rPr>
          <t xml:space="preserve">
最大行数，作为 countifs 统计的最大边界</t>
        </r>
      </text>
    </comment>
    <comment ref="F6" authorId="0">
      <text>
        <r>
          <rPr>
            <b/>
            <sz val="9"/>
            <color indexed="81"/>
            <rFont val="宋体"/>
            <family val="3"/>
            <charset val="134"/>
          </rPr>
          <t>David:</t>
        </r>
        <r>
          <rPr>
            <sz val="9"/>
            <color indexed="81"/>
            <rFont val="宋体"/>
            <family val="3"/>
            <charset val="134"/>
          </rPr>
          <t xml:space="preserve">
最大行数，作为 countifs 统计的最大边界</t>
        </r>
      </text>
    </comment>
    <comment ref="H6" authorId="0">
      <text>
        <r>
          <rPr>
            <b/>
            <sz val="9"/>
            <color indexed="81"/>
            <rFont val="宋体"/>
            <family val="3"/>
            <charset val="134"/>
          </rPr>
          <t>David:</t>
        </r>
        <r>
          <rPr>
            <sz val="9"/>
            <color indexed="81"/>
            <rFont val="宋体"/>
            <family val="3"/>
            <charset val="134"/>
          </rPr>
          <t xml:space="preserve">
重复1次没问题，重复2次以上不对（统计的条件在 COUNTIFS 中的发生错误；需要依据某个条件进行去重，C列统计同时采用对专利名称【B列】进行去重处理）</t>
        </r>
      </text>
    </comment>
    <comment ref="J6" authorId="0">
      <text>
        <r>
          <rPr>
            <b/>
            <sz val="9"/>
            <color indexed="81"/>
            <rFont val="宋体"/>
            <family val="3"/>
            <charset val="134"/>
          </rPr>
          <t>David:</t>
        </r>
        <r>
          <rPr>
            <sz val="9"/>
            <color indexed="81"/>
            <rFont val="宋体"/>
            <family val="3"/>
            <charset val="134"/>
          </rPr>
          <t xml:space="preserve">
对 C 列单位名称进行统计，待进一步验证考虑是否完善？</t>
        </r>
      </text>
    </comment>
    <comment ref="F7" authorId="0">
      <text>
        <r>
          <rPr>
            <b/>
            <sz val="9"/>
            <color indexed="81"/>
            <rFont val="宋体"/>
            <family val="3"/>
            <charset val="134"/>
          </rPr>
          <t>David:</t>
        </r>
        <r>
          <rPr>
            <sz val="9"/>
            <color indexed="81"/>
            <rFont val="宋体"/>
            <family val="3"/>
            <charset val="134"/>
          </rPr>
          <t xml:space="preserve">
最大行数，作为 countifs 统计的最大边界</t>
        </r>
      </text>
    </comment>
    <comment ref="H7" authorId="0">
      <text>
        <r>
          <rPr>
            <b/>
            <sz val="9"/>
            <color indexed="81"/>
            <rFont val="宋体"/>
            <family val="3"/>
            <charset val="134"/>
          </rPr>
          <t>David:</t>
        </r>
        <r>
          <rPr>
            <sz val="9"/>
            <color indexed="81"/>
            <rFont val="宋体"/>
            <family val="3"/>
            <charset val="134"/>
          </rPr>
          <t xml:space="preserve">
重复1次没问题，重复2次以上不对（主要针对统计的条件在 COUNTIFS 中的发生错误；）</t>
        </r>
      </text>
    </comment>
    <comment ref="F8" authorId="0">
      <text>
        <r>
          <rPr>
            <b/>
            <sz val="9"/>
            <color indexed="81"/>
            <rFont val="宋体"/>
            <family val="3"/>
            <charset val="134"/>
          </rPr>
          <t>David:</t>
        </r>
        <r>
          <rPr>
            <sz val="9"/>
            <color indexed="81"/>
            <rFont val="宋体"/>
            <family val="3"/>
            <charset val="134"/>
          </rPr>
          <t xml:space="preserve">
最大行数，作为 countifs 统计的最大边界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<sst xmlns="http://schemas.openxmlformats.org/spreadsheetml/2006/main" count="862" uniqueCount="194">
  <si>
    <t>授权专利总体统计情况</t>
  </si>
  <si>
    <t>授权专利逐年分布情况</t>
  </si>
  <si>
    <t>要求</t>
  </si>
  <si>
    <t>单位简称</t>
  </si>
  <si>
    <t>授权的管理专利（实用+发明）</t>
  </si>
  <si>
    <t>备注</t>
  </si>
  <si>
    <t>授权专利</t>
  </si>
  <si>
    <t>申请中专利</t>
  </si>
  <si>
    <t>作废专利</t>
  </si>
  <si>
    <t>公司1</t>
  </si>
  <si>
    <t>多个COUNTIFS相加</t>
  </si>
  <si>
    <t>单位</t>
  </si>
  <si>
    <t>专利名称</t>
  </si>
  <si>
    <t>申请/专利权人</t>
  </si>
  <si>
    <t>专利类型</t>
  </si>
  <si>
    <t>申请日期</t>
  </si>
  <si>
    <t>法律状态</t>
  </si>
  <si>
    <t>授权日期</t>
  </si>
  <si>
    <t>第一权利人</t>
  </si>
  <si>
    <t>经费投入</t>
  </si>
  <si>
    <t>专利1</t>
  </si>
  <si>
    <t>外观设计</t>
  </si>
  <si>
    <t>授权</t>
  </si>
  <si>
    <t>是</t>
  </si>
  <si>
    <t>专利2</t>
  </si>
  <si>
    <t>实用新型</t>
  </si>
  <si>
    <t>专利3</t>
  </si>
  <si>
    <t>专利权许可</t>
  </si>
  <si>
    <t>重复的记录</t>
  </si>
  <si>
    <t>专利4</t>
  </si>
  <si>
    <t>否</t>
  </si>
  <si>
    <t>专利5</t>
  </si>
  <si>
    <t>专利权转移</t>
  </si>
  <si>
    <t>专利6</t>
  </si>
  <si>
    <t>专利7</t>
  </si>
  <si>
    <t>专利8</t>
  </si>
  <si>
    <t>发明专利</t>
  </si>
  <si>
    <t>受理</t>
  </si>
  <si>
    <t>专利9</t>
  </si>
  <si>
    <t>专利10</t>
  </si>
  <si>
    <t>专利11</t>
  </si>
  <si>
    <t>专利12</t>
  </si>
  <si>
    <t>专利13</t>
  </si>
  <si>
    <t>专利14</t>
  </si>
  <si>
    <t>专利15</t>
  </si>
  <si>
    <t>专利16</t>
  </si>
  <si>
    <t>专利17</t>
  </si>
  <si>
    <t>专利18</t>
  </si>
  <si>
    <t>专利19</t>
  </si>
  <si>
    <t>专利20</t>
  </si>
  <si>
    <t>专利21</t>
  </si>
  <si>
    <t>专利22</t>
  </si>
  <si>
    <t>专利23</t>
  </si>
  <si>
    <t>专利24</t>
  </si>
  <si>
    <t>专利25</t>
  </si>
  <si>
    <t>专利26</t>
  </si>
  <si>
    <t>专利27</t>
  </si>
  <si>
    <t>专利28</t>
  </si>
  <si>
    <t>专利29</t>
  </si>
  <si>
    <t>专利30</t>
  </si>
  <si>
    <t>专利31</t>
  </si>
  <si>
    <t>专利32</t>
  </si>
  <si>
    <t>专利33</t>
  </si>
  <si>
    <t>专利34</t>
  </si>
  <si>
    <t>专利35</t>
  </si>
  <si>
    <t>专利36</t>
  </si>
  <si>
    <t>专利37</t>
  </si>
  <si>
    <t>专利38</t>
  </si>
  <si>
    <t>专利39</t>
  </si>
  <si>
    <t>专利40</t>
  </si>
  <si>
    <t>专利41</t>
  </si>
  <si>
    <t>专利42</t>
  </si>
  <si>
    <t>专利43</t>
  </si>
  <si>
    <t>专利44</t>
  </si>
  <si>
    <t>专利45</t>
  </si>
  <si>
    <t>专利46</t>
  </si>
  <si>
    <t>专利47</t>
  </si>
  <si>
    <t>专利48</t>
  </si>
  <si>
    <t>专利49</t>
  </si>
  <si>
    <t>专利50</t>
  </si>
  <si>
    <t>专利51</t>
  </si>
  <si>
    <t>专利52</t>
  </si>
  <si>
    <t>专利53</t>
  </si>
  <si>
    <t>专利54</t>
  </si>
  <si>
    <t>专利55</t>
  </si>
  <si>
    <t>专利56</t>
  </si>
  <si>
    <t>专利57</t>
  </si>
  <si>
    <t>专利58</t>
  </si>
  <si>
    <t>公司3</t>
  </si>
  <si>
    <t>专利59</t>
  </si>
  <si>
    <t>专利权终止</t>
  </si>
  <si>
    <t>专利60</t>
  </si>
  <si>
    <t>申请撤回</t>
  </si>
  <si>
    <t>专利61</t>
  </si>
  <si>
    <t>专利62</t>
  </si>
  <si>
    <t>专利63</t>
  </si>
  <si>
    <t>专利64</t>
  </si>
  <si>
    <t>申请被驳回</t>
  </si>
  <si>
    <t>专利65</t>
  </si>
  <si>
    <t>专利66</t>
  </si>
  <si>
    <t>专利67</t>
  </si>
  <si>
    <t>专利68</t>
  </si>
  <si>
    <t>专利69</t>
  </si>
  <si>
    <t>专利70</t>
  </si>
  <si>
    <t>专利71</t>
  </si>
  <si>
    <t>专利72</t>
  </si>
  <si>
    <t>专利73</t>
  </si>
  <si>
    <t>专利74</t>
  </si>
  <si>
    <t>专利75</t>
  </si>
  <si>
    <t>专利76</t>
  </si>
  <si>
    <t>公司2</t>
  </si>
  <si>
    <t>专利77</t>
  </si>
  <si>
    <t>专利78</t>
  </si>
  <si>
    <t>专利79</t>
  </si>
  <si>
    <t>专利80</t>
  </si>
  <si>
    <t>专利81</t>
  </si>
  <si>
    <t>专利82</t>
  </si>
  <si>
    <t>专利83</t>
  </si>
  <si>
    <t>专利84</t>
  </si>
  <si>
    <t>专利85</t>
  </si>
  <si>
    <t>专利86</t>
  </si>
  <si>
    <t>专利87</t>
  </si>
  <si>
    <t>专利88</t>
  </si>
  <si>
    <t>专利89</t>
  </si>
  <si>
    <t>专利90</t>
  </si>
  <si>
    <t>专利91</t>
  </si>
  <si>
    <t>专利92</t>
  </si>
  <si>
    <t>专利93</t>
  </si>
  <si>
    <t>专利94</t>
  </si>
  <si>
    <t>专利95</t>
  </si>
  <si>
    <t>专利96</t>
  </si>
  <si>
    <t>专利97</t>
  </si>
  <si>
    <t>专利98</t>
  </si>
  <si>
    <t>专利99</t>
  </si>
  <si>
    <t>专利100</t>
  </si>
  <si>
    <t>专利101</t>
  </si>
  <si>
    <t>专利102</t>
  </si>
  <si>
    <t>专利103</t>
  </si>
  <si>
    <t>专利104</t>
  </si>
  <si>
    <t>专利105</t>
  </si>
  <si>
    <t>专利106</t>
  </si>
  <si>
    <t>专利107</t>
  </si>
  <si>
    <t>专利108</t>
  </si>
  <si>
    <t>专利109</t>
  </si>
  <si>
    <t>专利110</t>
  </si>
  <si>
    <t>专利111</t>
  </si>
  <si>
    <t>专利112</t>
  </si>
  <si>
    <t>专利113</t>
  </si>
  <si>
    <t>专利114</t>
  </si>
  <si>
    <t>专利115</t>
  </si>
  <si>
    <t>专利116</t>
  </si>
  <si>
    <t>专利117</t>
  </si>
  <si>
    <t>专利118</t>
  </si>
  <si>
    <t>专利119</t>
  </si>
  <si>
    <t>专利120</t>
  </si>
  <si>
    <t>专利121</t>
  </si>
  <si>
    <t>专利122</t>
  </si>
  <si>
    <t>专利123</t>
  </si>
  <si>
    <t>专利124</t>
  </si>
  <si>
    <t>专利125</t>
  </si>
  <si>
    <t>专利126</t>
  </si>
  <si>
    <t>专利127</t>
  </si>
  <si>
    <t>专利128</t>
  </si>
  <si>
    <t>辅助列</t>
    <phoneticPr fontId="15" type="noConversion"/>
  </si>
  <si>
    <t>情况说明</t>
    <phoneticPr fontId="15" type="noConversion"/>
  </si>
  <si>
    <t>公式特征</t>
    <phoneticPr fontId="15" type="noConversion"/>
  </si>
  <si>
    <t>公司1、公司10</t>
  </si>
  <si>
    <t>公司3、公司11</t>
  </si>
  <si>
    <t>公司1、公司12</t>
    <phoneticPr fontId="15" type="noConversion"/>
  </si>
  <si>
    <t>公司1、公司13</t>
    <phoneticPr fontId="15" type="noConversion"/>
  </si>
  <si>
    <t>公司2、公司14</t>
    <phoneticPr fontId="15" type="noConversion"/>
  </si>
  <si>
    <t>SUM + COUNTIFS + {}，整列检索</t>
    <phoneticPr fontId="15" type="noConversion"/>
  </si>
  <si>
    <t>SUM + COUNTIFS + {} +INDIRECT，依据辅助列限定检索范围</t>
    <phoneticPr fontId="15" type="noConversion"/>
  </si>
  <si>
    <r>
      <t>“公司1”授权的实用新型和发明专利</t>
    </r>
    <r>
      <rPr>
        <sz val="11"/>
        <color theme="0" tint="-0.499984740745262"/>
        <rFont val="宋体"/>
        <family val="3"/>
        <charset val="134"/>
        <scheme val="minor"/>
      </rPr>
      <t>（不考虑重复填报情况）</t>
    </r>
    <phoneticPr fontId="15" type="noConversion"/>
  </si>
  <si>
    <r>
      <t>“公司1”授权的实用新型和发明专利</t>
    </r>
    <r>
      <rPr>
        <sz val="11"/>
        <color theme="0" tint="-0.499984740745262"/>
        <rFont val="宋体"/>
        <family val="3"/>
        <charset val="134"/>
        <scheme val="minor"/>
      </rPr>
      <t>（不考虑重复填报情况）</t>
    </r>
    <phoneticPr fontId="15" type="noConversion"/>
  </si>
  <si>
    <r>
      <t>“公司1”授权的实用新型和发明专利</t>
    </r>
    <r>
      <rPr>
        <sz val="11"/>
        <color theme="0" tint="-0.499984740745262"/>
        <rFont val="宋体"/>
        <family val="3"/>
        <charset val="134"/>
        <scheme val="minor"/>
      </rPr>
      <t>（根据专利名称排除重复填报的条目）</t>
    </r>
    <phoneticPr fontId="15" type="noConversion"/>
  </si>
  <si>
    <r>
      <t>“公司1”授权的第一权利人实用新型和发明专利</t>
    </r>
    <r>
      <rPr>
        <sz val="11"/>
        <color theme="0" tint="-0.499984740745262"/>
        <rFont val="宋体"/>
        <family val="3"/>
        <charset val="134"/>
        <scheme val="minor"/>
      </rPr>
      <t>（根据专利名称排除重复填报的条目）</t>
    </r>
    <phoneticPr fontId="15" type="noConversion"/>
  </si>
  <si>
    <t>重复的授权记录</t>
    <phoneticPr fontId="15" type="noConversion"/>
  </si>
  <si>
    <t>重复的受理记录</t>
    <phoneticPr fontId="15" type="noConversion"/>
  </si>
  <si>
    <t>重复的记录（新状态）</t>
    <phoneticPr fontId="15" type="noConversion"/>
  </si>
  <si>
    <t>增加限制条件时，2个地方对应添加限制条件即可</t>
    <phoneticPr fontId="15" type="noConversion"/>
  </si>
  <si>
    <t>空行</t>
    <phoneticPr fontId="15" type="noConversion"/>
  </si>
  <si>
    <t>建议使用</t>
    <phoneticPr fontId="15" type="noConversion"/>
  </si>
  <si>
    <t>备用推荐</t>
    <phoneticPr fontId="15" type="noConversion"/>
  </si>
  <si>
    <t>←不对A列统计，对C列统计【有待验证是否会模糊匹配其他单位名称】</t>
    <phoneticPr fontId="15" type="noConversion"/>
  </si>
  <si>
    <t>未去重</t>
    <phoneticPr fontId="15" type="noConversion"/>
  </si>
  <si>
    <t>去重后</t>
    <phoneticPr fontId="15" type="noConversion"/>
  </si>
  <si>
    <t>组别</t>
    <phoneticPr fontId="15" type="noConversion"/>
  </si>
  <si>
    <t>×（适用于没有重复名称的表格）</t>
    <phoneticPr fontId="15" type="noConversion"/>
  </si>
  <si>
    <t>公司3</t>
    <phoneticPr fontId="15" type="noConversion"/>
  </si>
  <si>
    <t>公司1</t>
    <phoneticPr fontId="15" type="noConversion"/>
  </si>
  <si>
    <r>
      <rPr>
        <b/>
        <sz val="10"/>
        <rFont val="微软雅黑"/>
        <family val="2"/>
        <charset val="134"/>
      </rPr>
      <t xml:space="preserve">数组公式 </t>
    </r>
    <r>
      <rPr>
        <sz val="10"/>
        <rFont val="微软雅黑"/>
        <family val="2"/>
        <charset val="134"/>
      </rPr>
      <t>+ SUM + IFERROR + 1/COUNTIFS + {}，依据辅助列限定检索范围，通过 * 去重</t>
    </r>
    <phoneticPr fontId="15" type="noConversion"/>
  </si>
  <si>
    <r>
      <rPr>
        <b/>
        <sz val="10"/>
        <rFont val="微软雅黑"/>
        <family val="2"/>
        <charset val="134"/>
      </rPr>
      <t>数组公式</t>
    </r>
    <r>
      <rPr>
        <sz val="10"/>
        <rFont val="微软雅黑"/>
        <family val="2"/>
        <charset val="134"/>
      </rPr>
      <t xml:space="preserve"> + SUMPRODUCT + IFERROR + 1/COUNTIFS + {}，依据辅助列限定检索范围，通过 * 去重</t>
    </r>
    <phoneticPr fontId="15" type="noConversion"/>
  </si>
  <si>
    <t>数组公式 + SUMPRODUCT + IFERROR + 1/COUNTIFS + {}，依据辅助列限定检索范围，通过 * 去重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</si>
</sst>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8" formatCode="[=0]&quot;&quot;;General"/>
    <numFmt numFmtId="179" formatCode="#&quot;及&quot;&quot;以&quot;&quot;前&quot;"/>
  </numFmts>
  <fonts count="25">
    <font>
      <sz val="11"/>
      <color theme="1"/>
      <name val="宋体"/>
      <charset val="134"/>
      <scheme val="minor"/>
    </font>
    <font>
      <sz val="11"/>
      <color theme="0" tint="-0.499984740745262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sz val="10"/>
      <color theme="0"/>
      <name val="宋体"/>
      <charset val="134"/>
    </font>
    <font>
      <sz val="10"/>
      <color theme="1"/>
      <name val="宋体"/>
      <charset val="134"/>
    </font>
    <font>
      <sz val="10"/>
      <color rgb="FF333333"/>
      <name val="宋体"/>
      <charset val="134"/>
    </font>
    <font>
      <sz val="10"/>
      <name val="宋体"/>
      <charset val="134"/>
    </font>
    <font>
      <sz val="10"/>
      <color theme="0" tint="-0.499984740745262"/>
      <name val="宋体"/>
      <charset val="134"/>
    </font>
    <font>
      <sz val="10"/>
      <color rgb="FFFF0000"/>
      <name val="宋体"/>
      <charset val="134"/>
    </font>
    <font>
      <sz val="11"/>
      <color rgb="FF0070C0"/>
      <name val="宋体"/>
      <charset val="134"/>
      <scheme val="minor"/>
    </font>
    <font>
      <sz val="11"/>
      <color theme="0"/>
      <name val="宋体"/>
      <charset val="134"/>
    </font>
    <font>
      <sz val="11"/>
      <color theme="0"/>
      <name val="宋体"/>
      <charset val="134"/>
      <scheme val="minor"/>
    </font>
    <font>
      <sz val="10"/>
      <color rgb="FFFF0000"/>
      <name val="微软雅黑"/>
      <charset val="134"/>
    </font>
    <font>
      <sz val="10"/>
      <color theme="1"/>
      <name val="微软雅黑"/>
      <charset val="134"/>
    </font>
    <font>
      <sz val="9"/>
      <name val="宋体"/>
      <charset val="134"/>
      <scheme val="minor"/>
    </font>
    <font>
      <sz val="11"/>
      <color theme="0" tint="-0.499984740745262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微软雅黑"/>
      <family val="2"/>
      <charset val="134"/>
    </font>
    <font>
      <sz val="11"/>
      <color rgb="FFFF0000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theme="0" tint="-0.499984740745262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b/>
      <sz val="1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14" fontId="7" fillId="0" borderId="1" xfId="0" applyNumberFormat="1" applyFont="1" applyFill="1" applyBorder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14" fontId="7" fillId="4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 wrapText="1"/>
    </xf>
    <xf numFmtId="14" fontId="8" fillId="4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10" fillId="0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vertical="center" wrapText="1"/>
    </xf>
    <xf numFmtId="0" fontId="0" fillId="0" borderId="1" xfId="0" applyFont="1" applyFill="1" applyBorder="1" applyAlignment="1">
      <alignment vertical="center"/>
    </xf>
    <xf numFmtId="178" fontId="13" fillId="0" borderId="1" xfId="0" applyNumberFormat="1" applyFont="1" applyFill="1" applyBorder="1" applyAlignment="1">
      <alignment horizontal="center" vertical="center" wrapText="1"/>
    </xf>
    <xf numFmtId="178" fontId="14" fillId="0" borderId="1" xfId="0" applyNumberFormat="1" applyFont="1" applyFill="1" applyBorder="1" applyAlignment="1">
      <alignment horizontal="center" vertical="center" wrapText="1"/>
    </xf>
    <xf numFmtId="178" fontId="14" fillId="0" borderId="0" xfId="0" applyNumberFormat="1" applyFont="1" applyFill="1" applyBorder="1" applyAlignment="1">
      <alignment horizontal="center" vertical="center" wrapText="1"/>
    </xf>
    <xf numFmtId="178" fontId="14" fillId="0" borderId="0" xfId="0" applyNumberFormat="1" applyFont="1" applyFill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vertical="center" wrapText="1"/>
    </xf>
    <xf numFmtId="179" fontId="12" fillId="3" borderId="1" xfId="0" applyNumberFormat="1" applyFont="1" applyFill="1" applyBorder="1" applyAlignment="1">
      <alignment vertical="center" wrapText="1"/>
    </xf>
    <xf numFmtId="0" fontId="0" fillId="0" borderId="0" xfId="0" applyFont="1" applyFill="1" applyAlignment="1">
      <alignment horizontal="left" vertical="center" wrapText="1"/>
    </xf>
    <xf numFmtId="0" fontId="12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left" vertical="center"/>
    </xf>
    <xf numFmtId="0" fontId="17" fillId="0" borderId="1" xfId="0" applyFont="1" applyBorder="1" applyAlignment="1">
      <alignment vertical="center" wrapText="1"/>
    </xf>
    <xf numFmtId="178" fontId="18" fillId="0" borderId="1" xfId="0" applyNumberFormat="1" applyFont="1" applyFill="1" applyBorder="1" applyAlignment="1">
      <alignment horizontal="center" vertical="center" wrapText="1"/>
    </xf>
    <xf numFmtId="178" fontId="18" fillId="5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17" fillId="0" borderId="0" xfId="0" applyFont="1" applyFill="1" applyAlignment="1">
      <alignment vertical="center"/>
    </xf>
    <xf numFmtId="0" fontId="17" fillId="0" borderId="1" xfId="0" applyFont="1" applyFill="1" applyBorder="1" applyAlignment="1">
      <alignment vertical="center" wrapText="1"/>
    </xf>
    <xf numFmtId="178" fontId="22" fillId="0" borderId="1" xfId="0" applyNumberFormat="1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vertical="center" wrapText="1"/>
    </xf>
    <xf numFmtId="0" fontId="19" fillId="0" borderId="0" xfId="0" applyFont="1" applyFill="1" applyAlignment="1">
      <alignment vertical="center"/>
    </xf>
    <xf numFmtId="0" fontId="16" fillId="0" borderId="0" xfId="0" applyFont="1" applyFill="1" applyAlignment="1">
      <alignment horizontal="right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vertical="center"/>
    </xf>
  </cellXfs>
  <cellStyles count="1">
    <cellStyle name="常规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HJ/baidu_sync/BaiduSyncdisk/b3%20&#31185;&#25216;&#21488;&#24080;/&#39033;&#30446;&#24615;&#36136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HHJ\baidu_sync\BaiduSyncdisk\b3%20&#31185;&#25216;&#21488;&#24080;\&#29256;&#26412;&#22791;&#20221;\&#21326;&#30005;&#20113;&#21335;&#20844;&#21496;-&#31185;&#25216;-&#32508;&#21512;&#31649;&#29702;&#21488;&#2408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HHJ/baidu_sync/BaiduSyncdisk/b3%20&#31185;&#25216;&#21488;&#24080;/&#30005;&#21378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项目性质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录"/>
      <sheetName val="记录要求"/>
      <sheetName val="日志"/>
      <sheetName val="管理日志"/>
      <sheetName val="在研项目库"/>
      <sheetName val="科技库"/>
      <sheetName val="科技统计"/>
      <sheetName val="技改库"/>
      <sheetName val="新立项"/>
      <sheetName val="结转"/>
      <sheetName val="项目统计"/>
      <sheetName val="项目年统计"/>
      <sheetName val="研发投入强度"/>
      <sheetName val="科技奖申请"/>
      <sheetName val="成果登记"/>
      <sheetName val="奖励清单"/>
      <sheetName val="荣誉称号"/>
      <sheetName val="奖励统计"/>
      <sheetName val="指标统计"/>
      <sheetName val="专利"/>
      <sheetName val="工作要求"/>
      <sheetName val="技术条款"/>
      <sheetName val="三重一大"/>
      <sheetName val="数据源"/>
      <sheetName val="二级联动测试"/>
      <sheetName val="龙盘规划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电厂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V8"/>
  <sheetViews>
    <sheetView tabSelected="1" workbookViewId="0">
      <pane xSplit="3" ySplit="2" topLeftCell="D3" activePane="bottomRight" state="frozen"/>
      <selection pane="topRight"/>
      <selection pane="bottomLeft"/>
      <selection pane="bottomRight" activeCell="D7" sqref="D7"/>
    </sheetView>
  </sheetViews>
  <sheetFormatPr defaultColWidth="9" defaultRowHeight="13.5"/>
  <cols>
    <col min="1" max="1" width="3.875" style="2" customWidth="1"/>
    <col min="2" max="2" width="32.5" style="25" customWidth="1"/>
    <col min="3" max="4" width="10.875" style="2" customWidth="1"/>
    <col min="5" max="5" width="29.625" style="2" customWidth="1"/>
    <col min="6" max="6" width="7.125" style="2" bestFit="1" customWidth="1"/>
    <col min="7" max="7" width="27.625" style="1" customWidth="1"/>
    <col min="8" max="8" width="6.5" style="2" customWidth="1"/>
    <col min="9" max="9" width="5.25" style="37" customWidth="1"/>
    <col min="10" max="10" width="8.875" style="2" customWidth="1"/>
    <col min="11" max="11" width="10.875" style="2" customWidth="1"/>
    <col min="12" max="12" width="8.875" style="2" customWidth="1"/>
    <col min="13" max="13" width="3.125" style="2" customWidth="1"/>
    <col min="14" max="14" width="10.375" style="2" customWidth="1"/>
    <col min="15" max="22" width="5.375" style="2" customWidth="1"/>
    <col min="23" max="16384" width="9" style="2"/>
  </cols>
  <sheetData>
    <row r="1" spans="1:22">
      <c r="E1" s="26"/>
      <c r="F1" s="26"/>
      <c r="H1" s="26"/>
      <c r="J1" s="26" t="s">
        <v>0</v>
      </c>
      <c r="N1" s="26" t="s">
        <v>1</v>
      </c>
    </row>
    <row r="2" spans="1:22" s="1" customFormat="1" ht="40.5">
      <c r="A2" s="27" t="s">
        <v>187</v>
      </c>
      <c r="B2" s="27" t="s">
        <v>2</v>
      </c>
      <c r="C2" s="27" t="s">
        <v>3</v>
      </c>
      <c r="D2" s="34" t="s">
        <v>4</v>
      </c>
      <c r="E2" s="34" t="s">
        <v>165</v>
      </c>
      <c r="F2" s="34" t="s">
        <v>163</v>
      </c>
      <c r="G2" s="34" t="s">
        <v>164</v>
      </c>
      <c r="H2" s="27"/>
      <c r="I2" s="38"/>
      <c r="J2" s="35" t="s">
        <v>6</v>
      </c>
      <c r="K2" s="35" t="s">
        <v>7</v>
      </c>
      <c r="L2" s="35" t="s">
        <v>8</v>
      </c>
      <c r="M2" s="28"/>
      <c r="N2" s="36">
        <v>2016</v>
      </c>
      <c r="O2" s="35">
        <v>2017</v>
      </c>
      <c r="P2" s="35">
        <v>2018</v>
      </c>
      <c r="Q2" s="35">
        <v>2019</v>
      </c>
      <c r="R2" s="35">
        <v>2020</v>
      </c>
      <c r="S2" s="35">
        <v>2021</v>
      </c>
      <c r="T2" s="35">
        <v>2022</v>
      </c>
      <c r="U2" s="35">
        <v>2023</v>
      </c>
      <c r="V2" s="35">
        <v>2024</v>
      </c>
    </row>
    <row r="3" spans="1:22" ht="27">
      <c r="A3" s="50" t="s">
        <v>185</v>
      </c>
      <c r="B3" s="40" t="s">
        <v>173</v>
      </c>
      <c r="C3" s="52" t="s">
        <v>190</v>
      </c>
      <c r="D3" s="41">
        <f>COUNTIFS(专利!$A:$A,"*"&amp;$C3&amp;"*",专利!$D:$D,"发明",专利!$F:$F,"授权")+COUNTIFS(专利!$A:$A,"*"&amp;$C3&amp;"*",专利!$D:$D,"实用新型",专利!$F:$F,"授权")</f>
        <v>50</v>
      </c>
      <c r="E3" s="41" t="s">
        <v>10</v>
      </c>
      <c r="F3" s="46"/>
      <c r="G3" s="45" t="s">
        <v>188</v>
      </c>
      <c r="H3" s="43"/>
      <c r="I3" s="49" t="s">
        <v>185</v>
      </c>
      <c r="J3" s="31">
        <f>COUNTIFS(专利!$A:$A,"*"&amp;$C3&amp;"*",专利!$F:$F,"授权")</f>
        <v>51</v>
      </c>
      <c r="K3" s="31">
        <f>COUNTIFS(专利!$A:$A,"*"&amp;$C3&amp;"*",专利!$F:$F,"受理")</f>
        <v>11</v>
      </c>
      <c r="L3" s="41">
        <f t="array" ref="L3">SUM(COUNTIFS(专利!$A:$A,"*"&amp;$C3&amp;"*",专利!$F:$F,{"*驳回","*撤回","*终止"}))</f>
        <v>0</v>
      </c>
      <c r="N3" s="31">
        <f>COUNTIFS(专利!$A:$A,"*"&amp;$C3&amp;"*",专利!$F:$F,"授权",专利!$G:$G,"&lt;="&amp;DATE(2016,12,31))</f>
        <v>0</v>
      </c>
      <c r="O3" s="31">
        <f>COUNTIFS(专利!$A:$A,"*"&amp;$C3&amp;"*",专利!$F:$F,"授权",专利!$G:$G,"&gt;="&amp;DATE(O$2,1,1),专利!$G:$G,"&lt;="&amp;DATE(O$2,12,31))</f>
        <v>1</v>
      </c>
      <c r="P3" s="31">
        <f>COUNTIFS(专利!$A:$A,"*"&amp;$C3&amp;"*",专利!$F:$F,"授权",专利!$G:$G,"&gt;="&amp;DATE(P$2,1,1),专利!$G:$G,"&lt;="&amp;DATE(P$2,12,31))</f>
        <v>0</v>
      </c>
      <c r="Q3" s="31">
        <f>COUNTIFS(专利!$A:$A,"*"&amp;$C3&amp;"*",专利!$F:$F,"授权",专利!$G:$G,"&gt;="&amp;DATE(Q$2,1,1),专利!$G:$G,"&lt;="&amp;DATE(Q$2,12,31))</f>
        <v>4</v>
      </c>
      <c r="R3" s="31">
        <f>COUNTIFS(专利!$A:$A,"*"&amp;$C3&amp;"*",专利!$F:$F,"授权",专利!$G:$G,"&gt;="&amp;DATE(R$2,1,1),专利!$G:$G,"&lt;="&amp;DATE(R$2,12,31))</f>
        <v>1</v>
      </c>
      <c r="S3" s="31">
        <f>COUNTIFS(专利!$A:$A,"*"&amp;$C3&amp;"*",专利!$F:$F,"授权",专利!$G:$G,"&gt;="&amp;DATE(S$2,1,1),专利!$G:$G,"&lt;="&amp;DATE(S$2,12,31))</f>
        <v>6</v>
      </c>
      <c r="T3" s="31">
        <f>COUNTIFS(专利!$A:$A,"*"&amp;$C3&amp;"*",专利!$F:$F,"授权",专利!$G:$G,"&gt;="&amp;DATE(T$2,1,1),专利!$G:$G,"&lt;="&amp;DATE(T$2,12,31))</f>
        <v>20</v>
      </c>
      <c r="U3" s="31">
        <f>COUNTIFS(专利!$A:$A,"*"&amp;$C3&amp;"*",专利!$F:$F,"授权",专利!$G:$G,"&gt;="&amp;DATE(U$2,1,1),专利!$G:$G,"&lt;="&amp;DATE(U$2,12,31))</f>
        <v>12</v>
      </c>
      <c r="V3" s="31">
        <f>COUNTIFS(专利!$A:$A,"*"&amp;$C3&amp;"*",专利!$F:$F,"授权",专利!$G:$G,"&gt;="&amp;DATE(V$2,1,1),专利!$G:$G,"&lt;="&amp;DATE(V$2,12,31))</f>
        <v>7</v>
      </c>
    </row>
    <row r="4" spans="1:22" ht="27">
      <c r="A4" s="51"/>
      <c r="B4" s="40" t="s">
        <v>174</v>
      </c>
      <c r="C4" s="52" t="s">
        <v>190</v>
      </c>
      <c r="D4" s="41" cm="1">
        <f t="array" ref="D4">SUM(COUNTIFS(专利!$A:$A,"*"&amp;$C4&amp;"*",专利!$D:$D,{"发明","实用新型"},专利!$F:$F,"授权"))</f>
        <v>50</v>
      </c>
      <c r="E4" s="41" t="s">
        <v>171</v>
      </c>
      <c r="F4" s="46"/>
      <c r="G4" s="45" t="s">
        <v>188</v>
      </c>
      <c r="H4" s="43"/>
      <c r="I4" s="49" t="s">
        <v>186</v>
      </c>
      <c r="J4" s="31">
        <f t="array" aca="1" ref="J4" ca="1">SUM(IFERROR(
1/COUNTIFS(
INDIRECT("专利!$A2:$A"&amp;"1000"),"*"&amp;$C4&amp;"*",
INDIRECT("专利!$F2:$F"&amp;"1000"),"授权",
INDIRECT("专利!$B2:$B"&amp;"1000"),INDIRECT("专利!$B2:$B"&amp;"1000")
)*
(INDIRECT("专利!$A2:$A"&amp;"1000")=$C4)*
(INDIRECT("专利!$F2:$F"&amp;"1000")="授权"),
0))</f>
        <v>48</v>
      </c>
      <c r="K4" s="31">
        <f t="array" aca="1" ref="K4" ca="1">SUM(IFERROR(
1/COUNTIFS(
INDIRECT("专利!$A2:$A"&amp;"1000"),"*"&amp;$C4&amp;"*",
INDIRECT("专利!$F2:$F"&amp;"1000"),"受理",
INDIRECT("专利!$B2:$B"&amp;"1000"),INDIRECT("专利!$B2:$B"&amp;"1000")
)*
(INDIRECT("专利!$A2:$A"&amp;"1000")=$C4)*
(INDIRECT("专利!$F2:$F"&amp;"1000")="受理"),
0))</f>
        <v>10</v>
      </c>
      <c r="L4" s="41">
        <f t="array" aca="1" ref="L4" ca="1">SUM(IFERROR(
1/COUNTIFS(
INDIRECT("专利!$A2:$A"&amp;"1000"),"*"&amp;$C4&amp;"*",
INDIRECT("专利!$F2:$F"&amp;"1000"),{"*驳回","*撤回","*终止"},
INDIRECT("专利!$B2:$B"&amp;"1000"),INDIRECT("专利!$B2:$B"&amp;"1000")
)*
(INDIRECT("专利!$A2:$A"&amp;"1000")=$C4)*
(  ISNUMBER(SEARCH("驳回",INDIRECT("专利!$F2:$F"&amp;"1000"))) +
   ISNUMBER(SEARCH("撤回", INDIRECT("专利!$F2:$F"&amp;"1000"))) +
   ISNUMBER(SEARCH("终止", INDIRECT("专利!$F2:$F"&amp;"1000")))
   &gt; 0),
0))</f>
        <v>0</v>
      </c>
      <c r="N4" s="31">
        <f t="array" aca="1" ref="N4" ca="1">SUM(IFERROR(
1/COUNTIFS(
INDIRECT("专利!$A2:$A"&amp;"1000"),"*"&amp;$C4&amp;"*",
INDIRECT("专利!$F2:$F"&amp;"1000"),"授权",
INDIRECT("专利!$G2:$G"&amp;"1000"),"&lt;="&amp;DATE(2016,12,31),
INDIRECT("专利!$B2:$B"&amp;"1000"),INDIRECT("专利!$B2:$B"&amp;"1000")
)*
(INDIRECT("专利!$A2:$A"&amp;"1000")=$C4)*
(INDIRECT("专利!$G2:$G"&amp;"1000")&lt;=DATE(2016,12,31))*
(INDIRECT("专利!$F2:$F"&amp;"1000")="授权"),
0))</f>
        <v>0</v>
      </c>
      <c r="O4" s="31">
        <f t="array" aca="1" ref="O4" ca="1">SUM(IFERROR(
1/COUNTIFS(
INDIRECT("专利!$A2:$A"&amp;"1000"),"*"&amp;$C4&amp;"*",
INDIRECT("专利!$F2:$F"&amp;"1000"),"授权",
INDIRECT("专利!$G2:$G"&amp;"1000"),"&gt;="&amp;DATE(O$2,1,1),
INDIRECT("专利!$G2:$G"&amp;"1000"),"&lt;="&amp;DATE(O$2,12,31),
INDIRECT("专利!$B2:$B"&amp;"1000"),INDIRECT("专利!$B2:$B"&amp;"1000")
)*
(INDIRECT("专利!$A2:$A"&amp;"1000")=$C4)*
(INDIRECT("专利!$G2:$G"&amp;"1000")&gt;=DATE(O$2,1,1))*
(INDIRECT("专利!$G2:$G"&amp;"1000")&lt;=DATE(O$2,12,31))*
(INDIRECT("专利!$F2:$F"&amp;"1000")="授权"),
0))</f>
        <v>1</v>
      </c>
      <c r="P4" s="31">
        <f t="array" aca="1" ref="P4" ca="1">SUM(IFERROR(
1/COUNTIFS(
INDIRECT("专利!$A2:$A"&amp;"1000"),"*"&amp;$C4&amp;"*",
INDIRECT("专利!$F2:$F"&amp;"1000"),"授权",
INDIRECT("专利!$G2:$G"&amp;"1000"),"&gt;="&amp;DATE(P$2,1,1),
INDIRECT("专利!$G2:$G"&amp;"1000"),"&lt;="&amp;DATE(P$2,12,31),
INDIRECT("专利!$B2:$B"&amp;"1000"),INDIRECT("专利!$B2:$B"&amp;"1000")
)*
(INDIRECT("专利!$A2:$A"&amp;"1000")=$C4)*
(INDIRECT("专利!$G2:$G"&amp;"1000")&gt;=DATE(P$2,1,1))*
(INDIRECT("专利!$G2:$G"&amp;"1000")&lt;=DATE(P$2,12,31))*
(INDIRECT("专利!$F2:$F"&amp;"1000")="授权"),
0))</f>
        <v>0</v>
      </c>
      <c r="Q4" s="31">
        <f t="array" aca="1" ref="Q4" ca="1">SUM(IFERROR(
1/COUNTIFS(
INDIRECT("专利!$A2:$A"&amp;"1000"),"*"&amp;$C4&amp;"*",
INDIRECT("专利!$F2:$F"&amp;"1000"),"授权",
INDIRECT("专利!$G2:$G"&amp;"1000"),"&gt;="&amp;DATE(Q$2,1,1),
INDIRECT("专利!$G2:$G"&amp;"1000"),"&lt;="&amp;DATE(Q$2,12,31),
INDIRECT("专利!$B2:$B"&amp;"1000"),INDIRECT("专利!$B2:$B"&amp;"1000")
)*
(INDIRECT("专利!$A2:$A"&amp;"1000")=$C4)*
(INDIRECT("专利!$G2:$G"&amp;"1000")&gt;=DATE(Q$2,1,1))*
(INDIRECT("专利!$G2:$G"&amp;"1000")&lt;=DATE(Q$2,12,31))*
(INDIRECT("专利!$F2:$F"&amp;"1000")="授权"),
0))</f>
        <v>1.9999999999999998</v>
      </c>
      <c r="R4" s="31">
        <f t="array" aca="1" ref="R4" ca="1">SUM(IFERROR(
1/COUNTIFS(
INDIRECT("专利!$A2:$A"&amp;"1000"),"*"&amp;$C4&amp;"*",
INDIRECT("专利!$F2:$F"&amp;"1000"),"授权",
INDIRECT("专利!$G2:$G"&amp;"1000"),"&gt;="&amp;DATE(R$2,1,1),
INDIRECT("专利!$G2:$G"&amp;"1000"),"&lt;="&amp;DATE(R$2,12,31),
INDIRECT("专利!$B2:$B"&amp;"1000"),INDIRECT("专利!$B2:$B"&amp;"1000")
)*
(INDIRECT("专利!$A2:$A"&amp;"1000")=$C4)*
(INDIRECT("专利!$G2:$G"&amp;"1000")&gt;=DATE(R$2,1,1))*
(INDIRECT("专利!$G2:$G"&amp;"1000")&lt;=DATE(R$2,12,31))*
(INDIRECT("专利!$F2:$F"&amp;"1000")="授权"),
0))</f>
        <v>1</v>
      </c>
      <c r="S4" s="31">
        <f t="array" aca="1" ref="S4" ca="1">SUM(IFERROR(
1/COUNTIFS(
INDIRECT("专利!$A2:$A"&amp;"1000"),"*"&amp;$C4&amp;"*",
INDIRECT("专利!$F2:$F"&amp;"1000"),"授权",
INDIRECT("专利!$G2:$G"&amp;"1000"),"&gt;="&amp;DATE(S$2,1,1),
INDIRECT("专利!$G2:$G"&amp;"1000"),"&lt;="&amp;DATE(S$2,12,31),
INDIRECT("专利!$B2:$B"&amp;"1000"),INDIRECT("专利!$B2:$B"&amp;"1000")
)*
(INDIRECT("专利!$A2:$A"&amp;"1000")=$C4)*
(INDIRECT("专利!$G2:$G"&amp;"1000")&gt;=DATE(S$2,1,1))*
(INDIRECT("专利!$G2:$G"&amp;"1000")&lt;=DATE(S$2,12,31))*
(INDIRECT("专利!$F2:$F"&amp;"1000")="授权"),
0))</f>
        <v>5</v>
      </c>
      <c r="T4" s="31">
        <f t="array" aca="1" ref="T4" ca="1">SUM(IFERROR(
1/COUNTIFS(
INDIRECT("专利!$A2:$A"&amp;"1000"),"*"&amp;$C4&amp;"*",
INDIRECT("专利!$F2:$F"&amp;"1000"),"授权",
INDIRECT("专利!$G2:$G"&amp;"1000"),"&gt;="&amp;DATE(T$2,1,1),
INDIRECT("专利!$G2:$G"&amp;"1000"),"&lt;="&amp;DATE(T$2,12,31),
INDIRECT("专利!$B2:$B"&amp;"1000"),INDIRECT("专利!$B2:$B"&amp;"1000")
)*
(INDIRECT("专利!$A2:$A"&amp;"1000")=$C4)*
(INDIRECT("专利!$G2:$G"&amp;"1000")&gt;=DATE(T$2,1,1))*
(INDIRECT("专利!$G2:$G"&amp;"1000")&lt;=DATE(T$2,12,31))*
(INDIRECT("专利!$F2:$F"&amp;"1000")="授权"),
0))</f>
        <v>20</v>
      </c>
      <c r="U4" s="31">
        <f t="array" aca="1" ref="U4" ca="1">SUM(IFERROR(
1/COUNTIFS(
INDIRECT("专利!$A2:$A"&amp;"1000"),"*"&amp;$C4&amp;"*",
INDIRECT("专利!$F2:$F"&amp;"1000"),"授权",
INDIRECT("专利!$G2:$G"&amp;"1000"),"&gt;="&amp;DATE(U$2,1,1),
INDIRECT("专利!$G2:$G"&amp;"1000"),"&lt;="&amp;DATE(U$2,12,31),
INDIRECT("专利!$B2:$B"&amp;"1000"),INDIRECT("专利!$B2:$B"&amp;"1000")
)*
(INDIRECT("专利!$A2:$A"&amp;"1000")=$C4)*
(INDIRECT("专利!$G2:$G"&amp;"1000")&gt;=DATE(U$2,1,1))*
(INDIRECT("专利!$G2:$G"&amp;"1000")&lt;=DATE(U$2,12,31))*
(INDIRECT("专利!$F2:$F"&amp;"1000")="授权"),
0))</f>
        <v>12</v>
      </c>
      <c r="V4" s="31">
        <f t="array" aca="1" ref="V4" ca="1">SUM(IFERROR(
1/COUNTIFS(
INDIRECT("专利!$A2:$A"&amp;"1000"),"*"&amp;$C4&amp;"*",
INDIRECT("专利!$F2:$F"&amp;"1000"),"授权",
INDIRECT("专利!$G2:$G"&amp;"1000"),"&gt;="&amp;DATE(V$2,1,1),
INDIRECT("专利!$G2:$G"&amp;"1000"),"&lt;="&amp;DATE(V$2,12,31),
INDIRECT("专利!$B2:$B"&amp;"1000"),INDIRECT("专利!$B2:$B"&amp;"1000")
)*
(INDIRECT("专利!$A2:$A"&amp;"1000")=$C4)*
(INDIRECT("专利!$G2:$G"&amp;"1000")&gt;=DATE(V$2,1,1))*
(INDIRECT("专利!$G2:$G"&amp;"1000")&lt;=DATE(V$2,12,31))*
(INDIRECT("专利!$F2:$F"&amp;"1000")="授权"),
0))</f>
        <v>7</v>
      </c>
    </row>
    <row r="5" spans="1:22" ht="33">
      <c r="A5" s="51"/>
      <c r="B5" s="40" t="s">
        <v>174</v>
      </c>
      <c r="C5" s="52" t="s">
        <v>189</v>
      </c>
      <c r="D5" s="41">
        <f ca="1">SUM(
COUNTIFS(
INDIRECT("专利!$A1:$A"&amp;F5),"*"&amp;$C5&amp;"*",
INDIRECT("专利!$D1:$D"&amp;F5),{"发明","实用新型"},
INDIRECT("专利!$F1:$F"&amp;F5),"授权")
)</f>
        <v>5</v>
      </c>
      <c r="E5" s="41" t="s">
        <v>172</v>
      </c>
      <c r="F5" s="46">
        <f>COUNTA(专利!B:B)+1</f>
        <v>136</v>
      </c>
      <c r="G5" s="45" t="s">
        <v>188</v>
      </c>
      <c r="H5" s="43"/>
      <c r="J5" s="32"/>
      <c r="K5" s="32"/>
      <c r="L5" s="33"/>
    </row>
    <row r="6" spans="1:22" ht="49.5">
      <c r="A6" s="50" t="s">
        <v>186</v>
      </c>
      <c r="B6" s="40" t="s">
        <v>175</v>
      </c>
      <c r="C6" s="29" t="s">
        <v>9</v>
      </c>
      <c r="D6" s="43">
        <f t="array" aca="1" ref="D6" ca="1">SUM(IFERROR(
1/COUNTIFS(
INDIRECT("专利!$A2:$A"&amp;F6),"*"&amp;$C6&amp;"*",
INDIRECT("专利!$D2:$D"&amp;F6),{"发明","实用新型"},
INDIRECT("专利!$F2:$F"&amp;F6),"授权",
INDIRECT("专利!$B2:$B"&amp;F6),INDIRECT("专利!$B2:$B"&amp;F6)
)*
(INDIRECT("专利!$A2:$A"&amp;F6)=C6)*
(INDIRECT("专利!$D2:$D"&amp;F6)={"发明","实用新型"})*
(INDIRECT("专利!$F2:$F"&amp;F6)="授权"),
0))</f>
        <v>47</v>
      </c>
      <c r="E6" s="42" t="s">
        <v>191</v>
      </c>
      <c r="F6" s="46">
        <f>COUNTA(专利!B:B)+1</f>
        <v>136</v>
      </c>
      <c r="G6" s="47" t="s">
        <v>182</v>
      </c>
      <c r="H6" s="30">
        <f t="array" aca="1" ref="H6" ca="1">SUM(IFERROR(
1/COUNTIFS(
INDIRECT("专利!$A2:$A"&amp;F6),"*"&amp;$C6&amp;"*",
INDIRECT("专利!$D2:$D"&amp;F6),{"发明","实用新型"},
INDIRECT("专利!$F2:$F"&amp;F6),"授权",
INDIRECT("专利!$B2:$B"&amp;F6),INDIRECT("专利!$B2:$B"&amp;F6)
),
0))</f>
        <v>47.833333333333329</v>
      </c>
      <c r="I6" s="39">
        <f ca="1">INT(H6)</f>
        <v>47</v>
      </c>
      <c r="J6" s="1">
        <f t="array" aca="1" ref="J6" ca="1">SUM(IFERROR(
1/COUNTIFS(
INDIRECT("专利!$C2:$C"&amp;F6),"*"&amp;$C6&amp;"*",
INDIRECT("专利!$D2:$D"&amp;F6),{"发明","实用新型"},
INDIRECT("专利!$F2:$F"&amp;F6),"授权",
INDIRECT("专利!$B2:$B"&amp;F6),INDIRECT("专利!$B2:$B"&amp;F6)
)*
(ISNUMBER(SEARCH(C6,INDIRECT("专利!$C2:$C"&amp;F6))))*
(INDIRECT("专利!$D2:$D"&amp;F6)={"发明","实用新型"})*
(INDIRECT("专利!$F2:$F"&amp;F6)="授权"),
0))</f>
        <v>47</v>
      </c>
      <c r="K6" s="48" t="s">
        <v>184</v>
      </c>
    </row>
    <row r="7" spans="1:22" ht="49.5">
      <c r="A7" s="51"/>
      <c r="B7" s="40" t="s">
        <v>175</v>
      </c>
      <c r="C7" s="29" t="s">
        <v>9</v>
      </c>
      <c r="D7" s="43">
        <f t="array" aca="1" ref="D7" ca="1">SUMPRODUCT(IFERROR(
1/COUNTIFS(
INDIRECT("专利!$A2:$A"&amp;F7),"*"&amp;$C7&amp;"*",
INDIRECT("专利!$D2:$D"&amp;F7),{"发明","实用新型"},
INDIRECT("专利!$F2:$F"&amp;F7),"授权",
INDIRECT("专利!$B2:$B"&amp;F7),INDIRECT("专利!$B2:$B"&amp;F7)
)*
(INDIRECT("专利!$A2:$A"&amp;F7)=C7)*
(INDIRECT("专利!$D2:$D"&amp;F7)={"发明","实用新型"})*
(INDIRECT("专利!$F2:$F"&amp;F7)="授权"),
0))</f>
        <v>47</v>
      </c>
      <c r="E7" s="42" t="s">
        <v>192</v>
      </c>
      <c r="F7" s="46">
        <f>COUNTA(专利!B:B)+1</f>
        <v>136</v>
      </c>
      <c r="G7" s="47" t="s">
        <v>183</v>
      </c>
      <c r="H7" s="30" cm="1">
        <f t="array" aca="1" ref="H7" ca="1">SUMPRODUCT(IFERROR(1/COUNTIFS(INDIRECT("专利!$A2:$A"&amp;F7),"*"&amp;$C7&amp;"*",INDIRECT("专利!$D2:$D"&amp;F7),{"发明","实用新型"},INDIRECT("专利!$F2:$F"&amp;F7),"授权",INDIRECT("专利!$B2:$B"&amp;F7),INDIRECT("专利!$B2:$B"&amp;F7)),0))</f>
        <v>47.833333333333329</v>
      </c>
      <c r="I7" s="39">
        <f ca="1">INT(H7)</f>
        <v>47</v>
      </c>
      <c r="J7" s="1"/>
    </row>
    <row r="8" spans="1:22" ht="49.5">
      <c r="A8" s="51"/>
      <c r="B8" s="40" t="s">
        <v>176</v>
      </c>
      <c r="C8" s="29" t="s">
        <v>9</v>
      </c>
      <c r="D8" s="43">
        <f t="array" aca="1" ref="D8" ca="1">SUMPRODUCT(IFERROR(
1/COUNTIFS(
INDIRECT("专利!$A2:$A"&amp;F8),"*"&amp;$C8&amp;"*",
INDIRECT("专利!$D2:$D"&amp;F8),{"发明","实用新型"},
INDIRECT("专利!$F2:$F"&amp;F8),"授权",
INDIRECT("专利!$H2:$H"&amp;F8),"是",
INDIRECT("专利!$B2:$B"&amp;F8),INDIRECT("专利!$B2:$B"&amp;F8)
)*
(INDIRECT("专利!$A2:$A"&amp;F8)=C8)*
(INDIRECT("专利!$D2:$D"&amp;F8)={"发明","实用新型"})*
(INDIRECT("专利!$F2:$F"&amp;F8)="授权")*
(INDIRECT("专利!$H2:$H"&amp;F8)="是"),
0))</f>
        <v>46</v>
      </c>
      <c r="E8" s="41" t="s">
        <v>193</v>
      </c>
      <c r="F8" s="46">
        <f>COUNTA(专利!B:B)+1</f>
        <v>136</v>
      </c>
      <c r="G8" s="45" t="s">
        <v>180</v>
      </c>
      <c r="H8" s="30" cm="1">
        <f t="array" aca="1" ref="H8" ca="1">SUMPRODUCT(IFERROR(1/COUNTIFS(INDIRECT("专利!$A2:$A"&amp;F8),"*"&amp;$C8&amp;"*",INDIRECT("专利!$D2:$D"&amp;F8),{"发明","实用新型"},INDIRECT("专利!$F2:$F"&amp;F8),"授权",INDIRECT("专利!$H2:$H"&amp;F8),"是",INDIRECT("专利!$B2:$B"&amp;F8),INDIRECT("专利!$B2:$B"&amp;F8)),0))</f>
        <v>46.833333333333329</v>
      </c>
      <c r="I8" s="39">
        <f ca="1">INT(H8)</f>
        <v>46</v>
      </c>
      <c r="J8" s="1"/>
    </row>
  </sheetData>
  <mergeCells count="2">
    <mergeCell ref="A3:A5"/>
    <mergeCell ref="A6:A8"/>
  </mergeCells>
  <phoneticPr fontId="15" type="noConversion"/>
  <pageMargins left="0.75138888888888899" right="0.75138888888888899" top="1" bottom="1" header="0.5" footer="0.5"/>
  <pageSetup paperSize="9" orientation="portrait" r:id="rId1"/>
  <headerFooter>
    <oddHeader>&amp;C&amp;A</oddHeader>
    <oddFooter>&amp;C第 &amp;P 页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2:XEM137"/>
  <sheetViews>
    <sheetView zoomScale="115" zoomScaleNormal="115" workbookViewId="0">
      <pane xSplit="2" ySplit="2" topLeftCell="C42" activePane="bottomRight" state="frozen"/>
      <selection pane="topRight"/>
      <selection pane="bottomLeft"/>
      <selection pane="bottomRight" activeCell="D56" sqref="D56"/>
    </sheetView>
  </sheetViews>
  <sheetFormatPr defaultColWidth="9" defaultRowHeight="13.5"/>
  <cols>
    <col min="1" max="1" width="8.625" style="1" customWidth="1"/>
    <col min="2" max="2" width="12" style="2" bestFit="1" customWidth="1"/>
    <col min="3" max="3" width="16.375" style="2" bestFit="1" customWidth="1"/>
    <col min="4" max="4" width="12" style="2" bestFit="1" customWidth="1"/>
    <col min="5" max="5" width="12.125" style="5" customWidth="1"/>
    <col min="6" max="6" width="12" style="2" bestFit="1" customWidth="1"/>
    <col min="7" max="7" width="10.375" style="2" customWidth="1"/>
    <col min="8" max="8" width="11.125" style="6" customWidth="1"/>
    <col min="9" max="9" width="9" style="2"/>
    <col min="10" max="10" width="21.375" style="2" bestFit="1" customWidth="1"/>
    <col min="11" max="16367" width="9" style="2"/>
  </cols>
  <sheetData>
    <row r="2" spans="1:10" s="1" customFormat="1">
      <c r="A2" s="7" t="s">
        <v>11</v>
      </c>
      <c r="B2" s="8" t="s">
        <v>12</v>
      </c>
      <c r="C2" s="8" t="s">
        <v>13</v>
      </c>
      <c r="D2" s="8" t="s">
        <v>14</v>
      </c>
      <c r="E2" s="8" t="s">
        <v>15</v>
      </c>
      <c r="F2" s="8" t="s">
        <v>16</v>
      </c>
      <c r="G2" s="8" t="s">
        <v>17</v>
      </c>
      <c r="H2" s="8" t="s">
        <v>18</v>
      </c>
      <c r="I2" s="8" t="s">
        <v>19</v>
      </c>
      <c r="J2" s="8" t="s">
        <v>5</v>
      </c>
    </row>
    <row r="3" spans="1:10">
      <c r="A3" s="9" t="s">
        <v>9</v>
      </c>
      <c r="B3" s="10" t="s">
        <v>20</v>
      </c>
      <c r="C3" s="10" t="s">
        <v>9</v>
      </c>
      <c r="D3" s="10" t="s">
        <v>21</v>
      </c>
      <c r="E3" s="11">
        <v>42641</v>
      </c>
      <c r="F3" s="12" t="s">
        <v>22</v>
      </c>
      <c r="G3" s="12">
        <v>42830</v>
      </c>
      <c r="H3" s="13" t="s">
        <v>23</v>
      </c>
      <c r="I3" s="2">
        <v>1500</v>
      </c>
    </row>
    <row r="4" spans="1:10">
      <c r="A4" s="9" t="s">
        <v>9</v>
      </c>
      <c r="B4" s="10" t="s">
        <v>24</v>
      </c>
      <c r="C4" s="10" t="s">
        <v>9</v>
      </c>
      <c r="D4" s="10" t="s">
        <v>25</v>
      </c>
      <c r="E4" s="11">
        <v>43583</v>
      </c>
      <c r="F4" s="12" t="s">
        <v>22</v>
      </c>
      <c r="G4" s="12">
        <v>43812</v>
      </c>
      <c r="H4" s="13" t="s">
        <v>23</v>
      </c>
      <c r="I4" s="2">
        <v>4000</v>
      </c>
    </row>
    <row r="5" spans="1:10">
      <c r="A5" s="9" t="s">
        <v>9</v>
      </c>
      <c r="B5" s="10" t="s">
        <v>26</v>
      </c>
      <c r="C5" s="10" t="s">
        <v>9</v>
      </c>
      <c r="D5" s="10" t="s">
        <v>25</v>
      </c>
      <c r="E5" s="11">
        <v>43583</v>
      </c>
      <c r="F5" s="12" t="s">
        <v>22</v>
      </c>
      <c r="G5" s="12">
        <v>43812</v>
      </c>
      <c r="H5" s="13" t="s">
        <v>23</v>
      </c>
      <c r="I5" s="2">
        <v>4000</v>
      </c>
    </row>
    <row r="6" spans="1:10">
      <c r="A6" s="9" t="s">
        <v>9</v>
      </c>
      <c r="B6" s="10" t="s">
        <v>26</v>
      </c>
      <c r="C6" s="10" t="s">
        <v>9</v>
      </c>
      <c r="D6" s="10" t="s">
        <v>25</v>
      </c>
      <c r="E6" s="11">
        <v>43583</v>
      </c>
      <c r="F6" s="12" t="s">
        <v>27</v>
      </c>
      <c r="G6" s="12">
        <v>43812</v>
      </c>
      <c r="H6" s="13" t="s">
        <v>23</v>
      </c>
      <c r="I6" s="2">
        <v>4000</v>
      </c>
      <c r="J6" s="44" t="s">
        <v>179</v>
      </c>
    </row>
    <row r="7" spans="1:10">
      <c r="A7" s="9"/>
      <c r="B7" s="10"/>
      <c r="C7" s="10"/>
      <c r="D7" s="10"/>
      <c r="E7" s="11"/>
      <c r="F7" s="12"/>
      <c r="G7" s="12"/>
      <c r="H7" s="13"/>
      <c r="J7" s="44" t="s">
        <v>181</v>
      </c>
    </row>
    <row r="8" spans="1:10">
      <c r="A8" s="9" t="s">
        <v>9</v>
      </c>
      <c r="B8" s="10" t="s">
        <v>26</v>
      </c>
      <c r="C8" s="10" t="s">
        <v>9</v>
      </c>
      <c r="D8" s="10" t="s">
        <v>25</v>
      </c>
      <c r="E8" s="11">
        <v>43583</v>
      </c>
      <c r="F8" s="12" t="s">
        <v>22</v>
      </c>
      <c r="G8" s="12">
        <v>43812</v>
      </c>
      <c r="H8" s="13" t="s">
        <v>23</v>
      </c>
      <c r="I8" s="2">
        <v>4000</v>
      </c>
      <c r="J8" s="44" t="s">
        <v>177</v>
      </c>
    </row>
    <row r="9" spans="1:10">
      <c r="A9" s="9" t="s">
        <v>9</v>
      </c>
      <c r="B9" s="10" t="s">
        <v>26</v>
      </c>
      <c r="C9" s="10" t="s">
        <v>9</v>
      </c>
      <c r="D9" s="10" t="s">
        <v>25</v>
      </c>
      <c r="E9" s="11">
        <v>43583</v>
      </c>
      <c r="F9" s="12" t="s">
        <v>22</v>
      </c>
      <c r="G9" s="12">
        <v>43812</v>
      </c>
      <c r="H9" s="13" t="s">
        <v>23</v>
      </c>
      <c r="I9" s="2">
        <v>4000</v>
      </c>
      <c r="J9" s="44" t="s">
        <v>177</v>
      </c>
    </row>
    <row r="10" spans="1:10">
      <c r="A10" s="9" t="s">
        <v>9</v>
      </c>
      <c r="B10" s="10" t="s">
        <v>29</v>
      </c>
      <c r="C10" s="10" t="s">
        <v>9</v>
      </c>
      <c r="D10" s="10" t="s">
        <v>25</v>
      </c>
      <c r="E10" s="11">
        <v>43686</v>
      </c>
      <c r="F10" s="12" t="s">
        <v>22</v>
      </c>
      <c r="G10" s="12">
        <v>43942</v>
      </c>
      <c r="H10" s="13" t="s">
        <v>30</v>
      </c>
      <c r="I10" s="2">
        <v>4000</v>
      </c>
    </row>
    <row r="11" spans="1:10">
      <c r="A11" s="9" t="s">
        <v>9</v>
      </c>
      <c r="B11" s="10" t="s">
        <v>31</v>
      </c>
      <c r="C11" s="10" t="s">
        <v>9</v>
      </c>
      <c r="D11" s="10" t="s">
        <v>25</v>
      </c>
      <c r="E11" s="11">
        <v>44123</v>
      </c>
      <c r="F11" s="12" t="s">
        <v>22</v>
      </c>
      <c r="G11" s="12">
        <v>44344</v>
      </c>
      <c r="H11" s="13" t="s">
        <v>23</v>
      </c>
      <c r="I11" s="2">
        <v>4000</v>
      </c>
    </row>
    <row r="12" spans="1:10">
      <c r="A12" s="9" t="s">
        <v>9</v>
      </c>
      <c r="B12" s="10" t="s">
        <v>31</v>
      </c>
      <c r="C12" s="10" t="s">
        <v>9</v>
      </c>
      <c r="D12" s="10" t="s">
        <v>25</v>
      </c>
      <c r="E12" s="11">
        <v>44123</v>
      </c>
      <c r="F12" s="12" t="s">
        <v>22</v>
      </c>
      <c r="G12" s="12">
        <v>44344</v>
      </c>
      <c r="H12" s="13" t="s">
        <v>23</v>
      </c>
      <c r="I12" s="2">
        <v>4000</v>
      </c>
      <c r="J12" s="44" t="s">
        <v>177</v>
      </c>
    </row>
    <row r="13" spans="1:10">
      <c r="A13" s="9" t="s">
        <v>9</v>
      </c>
      <c r="B13" s="10" t="s">
        <v>31</v>
      </c>
      <c r="C13" s="10" t="s">
        <v>9</v>
      </c>
      <c r="D13" s="10" t="s">
        <v>25</v>
      </c>
      <c r="E13" s="11">
        <v>44123</v>
      </c>
      <c r="F13" s="12" t="s">
        <v>32</v>
      </c>
      <c r="G13" s="12">
        <v>44344</v>
      </c>
      <c r="H13" s="13" t="s">
        <v>23</v>
      </c>
      <c r="I13" s="2">
        <v>4000</v>
      </c>
      <c r="J13" s="2" t="s">
        <v>28</v>
      </c>
    </row>
    <row r="14" spans="1:10">
      <c r="A14" s="9" t="s">
        <v>9</v>
      </c>
      <c r="B14" s="10" t="s">
        <v>33</v>
      </c>
      <c r="C14" s="10" t="s">
        <v>9</v>
      </c>
      <c r="D14" s="10" t="s">
        <v>25</v>
      </c>
      <c r="E14" s="11">
        <v>44123</v>
      </c>
      <c r="F14" s="12" t="s">
        <v>22</v>
      </c>
      <c r="G14" s="12">
        <v>44351</v>
      </c>
      <c r="H14" s="13" t="s">
        <v>23</v>
      </c>
      <c r="I14" s="2">
        <v>4000</v>
      </c>
    </row>
    <row r="15" spans="1:10">
      <c r="A15" s="9" t="s">
        <v>9</v>
      </c>
      <c r="B15" s="10" t="s">
        <v>34</v>
      </c>
      <c r="C15" s="10" t="s">
        <v>9</v>
      </c>
      <c r="D15" s="10" t="s">
        <v>25</v>
      </c>
      <c r="E15" s="11">
        <v>44159</v>
      </c>
      <c r="F15" s="12" t="s">
        <v>22</v>
      </c>
      <c r="G15" s="12">
        <v>44488</v>
      </c>
      <c r="H15" s="13" t="s">
        <v>23</v>
      </c>
      <c r="I15" s="2">
        <v>4000</v>
      </c>
    </row>
    <row r="16" spans="1:10">
      <c r="A16" s="9" t="s">
        <v>9</v>
      </c>
      <c r="B16" s="10" t="s">
        <v>35</v>
      </c>
      <c r="C16" s="10" t="s">
        <v>9</v>
      </c>
      <c r="D16" s="10" t="s">
        <v>36</v>
      </c>
      <c r="E16" s="11">
        <v>44404</v>
      </c>
      <c r="F16" s="12" t="s">
        <v>37</v>
      </c>
      <c r="G16" s="12"/>
      <c r="H16" s="13" t="s">
        <v>23</v>
      </c>
      <c r="I16" s="2">
        <v>2000</v>
      </c>
    </row>
    <row r="17" spans="1:10">
      <c r="A17" s="9" t="s">
        <v>9</v>
      </c>
      <c r="B17" s="10" t="s">
        <v>35</v>
      </c>
      <c r="C17" s="10" t="s">
        <v>9</v>
      </c>
      <c r="D17" s="10" t="s">
        <v>36</v>
      </c>
      <c r="E17" s="11">
        <v>44404</v>
      </c>
      <c r="F17" s="12" t="s">
        <v>37</v>
      </c>
      <c r="G17" s="12"/>
      <c r="H17" s="13" t="s">
        <v>23</v>
      </c>
      <c r="I17" s="2">
        <v>2000</v>
      </c>
      <c r="J17" s="44" t="s">
        <v>178</v>
      </c>
    </row>
    <row r="18" spans="1:10">
      <c r="A18" s="9" t="s">
        <v>9</v>
      </c>
      <c r="B18" s="10" t="s">
        <v>38</v>
      </c>
      <c r="C18" s="10" t="s">
        <v>9</v>
      </c>
      <c r="D18" s="10" t="s">
        <v>36</v>
      </c>
      <c r="E18" s="11">
        <v>44404</v>
      </c>
      <c r="F18" s="12" t="s">
        <v>37</v>
      </c>
      <c r="G18" s="12"/>
      <c r="H18" s="13" t="s">
        <v>23</v>
      </c>
      <c r="I18" s="2">
        <v>2000</v>
      </c>
    </row>
    <row r="19" spans="1:10">
      <c r="A19" s="9" t="s">
        <v>9</v>
      </c>
      <c r="B19" s="10" t="s">
        <v>39</v>
      </c>
      <c r="C19" s="10" t="s">
        <v>9</v>
      </c>
      <c r="D19" s="10" t="s">
        <v>36</v>
      </c>
      <c r="E19" s="11">
        <v>44439</v>
      </c>
      <c r="F19" s="12" t="s">
        <v>37</v>
      </c>
      <c r="G19" s="12"/>
      <c r="H19" s="13" t="s">
        <v>23</v>
      </c>
      <c r="I19" s="2">
        <v>2000</v>
      </c>
    </row>
    <row r="20" spans="1:10">
      <c r="A20" s="9" t="s">
        <v>9</v>
      </c>
      <c r="B20" s="10" t="s">
        <v>40</v>
      </c>
      <c r="C20" s="10" t="s">
        <v>9</v>
      </c>
      <c r="D20" s="10" t="s">
        <v>36</v>
      </c>
      <c r="E20" s="11">
        <v>44483</v>
      </c>
      <c r="F20" s="12" t="s">
        <v>37</v>
      </c>
      <c r="G20" s="12"/>
      <c r="H20" s="13" t="s">
        <v>23</v>
      </c>
      <c r="I20" s="2">
        <v>2000</v>
      </c>
    </row>
    <row r="21" spans="1:10">
      <c r="A21" s="9" t="s">
        <v>9</v>
      </c>
      <c r="B21" s="10" t="s">
        <v>41</v>
      </c>
      <c r="C21" s="10" t="s">
        <v>9</v>
      </c>
      <c r="D21" s="10" t="s">
        <v>25</v>
      </c>
      <c r="E21" s="11">
        <v>44278</v>
      </c>
      <c r="F21" s="12" t="s">
        <v>22</v>
      </c>
      <c r="G21" s="12">
        <v>44498</v>
      </c>
      <c r="H21" s="13" t="s">
        <v>23</v>
      </c>
      <c r="I21" s="2">
        <v>4000</v>
      </c>
    </row>
    <row r="22" spans="1:10" s="2" customFormat="1">
      <c r="A22" s="9" t="s">
        <v>9</v>
      </c>
      <c r="B22" s="14" t="s">
        <v>42</v>
      </c>
      <c r="C22" s="14" t="s">
        <v>9</v>
      </c>
      <c r="D22" s="14" t="s">
        <v>25</v>
      </c>
      <c r="E22" s="11">
        <v>44370</v>
      </c>
      <c r="F22" s="15" t="s">
        <v>22</v>
      </c>
      <c r="G22" s="15">
        <v>44831</v>
      </c>
      <c r="H22" s="13" t="s">
        <v>23</v>
      </c>
      <c r="I22" s="2">
        <v>4000</v>
      </c>
    </row>
    <row r="23" spans="1:10">
      <c r="A23" s="9" t="s">
        <v>9</v>
      </c>
      <c r="B23" s="10" t="s">
        <v>43</v>
      </c>
      <c r="C23" s="10" t="s">
        <v>9</v>
      </c>
      <c r="D23" s="10" t="s">
        <v>25</v>
      </c>
      <c r="E23" s="11">
        <v>44370</v>
      </c>
      <c r="F23" s="12" t="s">
        <v>22</v>
      </c>
      <c r="G23" s="12">
        <v>44831</v>
      </c>
      <c r="H23" s="13" t="s">
        <v>23</v>
      </c>
      <c r="I23" s="2">
        <v>4000</v>
      </c>
    </row>
    <row r="24" spans="1:10">
      <c r="A24" s="9" t="s">
        <v>9</v>
      </c>
      <c r="B24" s="10" t="s">
        <v>44</v>
      </c>
      <c r="C24" s="10" t="s">
        <v>9</v>
      </c>
      <c r="D24" s="10" t="s">
        <v>25</v>
      </c>
      <c r="E24" s="11">
        <v>44375</v>
      </c>
      <c r="F24" s="12" t="s">
        <v>22</v>
      </c>
      <c r="G24" s="12">
        <v>44554</v>
      </c>
      <c r="H24" s="13" t="s">
        <v>23</v>
      </c>
      <c r="I24" s="2">
        <v>4000</v>
      </c>
    </row>
    <row r="25" spans="1:10">
      <c r="A25" s="9" t="s">
        <v>9</v>
      </c>
      <c r="B25" s="10" t="s">
        <v>45</v>
      </c>
      <c r="C25" s="10" t="s">
        <v>9</v>
      </c>
      <c r="D25" s="10" t="s">
        <v>25</v>
      </c>
      <c r="E25" s="11">
        <v>44375</v>
      </c>
      <c r="F25" s="12" t="s">
        <v>22</v>
      </c>
      <c r="G25" s="12">
        <v>44831</v>
      </c>
      <c r="H25" s="13" t="s">
        <v>23</v>
      </c>
      <c r="I25" s="2">
        <v>4000</v>
      </c>
    </row>
    <row r="26" spans="1:10">
      <c r="A26" s="9" t="s">
        <v>9</v>
      </c>
      <c r="B26" s="10" t="s">
        <v>46</v>
      </c>
      <c r="C26" s="10" t="s">
        <v>9</v>
      </c>
      <c r="D26" s="10" t="s">
        <v>25</v>
      </c>
      <c r="E26" s="11">
        <v>44404</v>
      </c>
      <c r="F26" s="12" t="s">
        <v>22</v>
      </c>
      <c r="G26" s="12">
        <v>44572</v>
      </c>
      <c r="H26" s="13" t="s">
        <v>23</v>
      </c>
      <c r="I26" s="2">
        <v>4000</v>
      </c>
    </row>
    <row r="27" spans="1:10">
      <c r="A27" s="9" t="s">
        <v>9</v>
      </c>
      <c r="B27" s="10" t="s">
        <v>47</v>
      </c>
      <c r="C27" s="10" t="s">
        <v>9</v>
      </c>
      <c r="D27" s="10" t="s">
        <v>25</v>
      </c>
      <c r="E27" s="11">
        <v>44412</v>
      </c>
      <c r="F27" s="12" t="s">
        <v>22</v>
      </c>
      <c r="G27" s="12">
        <v>44568</v>
      </c>
      <c r="H27" s="13" t="s">
        <v>23</v>
      </c>
      <c r="I27" s="2">
        <v>4000</v>
      </c>
    </row>
    <row r="28" spans="1:10">
      <c r="A28" s="9" t="s">
        <v>9</v>
      </c>
      <c r="B28" s="10" t="s">
        <v>48</v>
      </c>
      <c r="C28" s="10" t="s">
        <v>9</v>
      </c>
      <c r="D28" s="10" t="s">
        <v>25</v>
      </c>
      <c r="E28" s="11">
        <v>44413</v>
      </c>
      <c r="F28" s="12" t="s">
        <v>22</v>
      </c>
      <c r="G28" s="12">
        <v>44572</v>
      </c>
      <c r="H28" s="13" t="s">
        <v>23</v>
      </c>
      <c r="I28" s="2">
        <v>4000</v>
      </c>
    </row>
    <row r="29" spans="1:10">
      <c r="A29" s="9" t="s">
        <v>9</v>
      </c>
      <c r="B29" s="10" t="s">
        <v>49</v>
      </c>
      <c r="C29" s="10" t="s">
        <v>9</v>
      </c>
      <c r="D29" s="10" t="s">
        <v>25</v>
      </c>
      <c r="E29" s="11">
        <v>44439</v>
      </c>
      <c r="F29" s="12" t="s">
        <v>22</v>
      </c>
      <c r="G29" s="12">
        <v>44831</v>
      </c>
      <c r="H29" s="13" t="s">
        <v>23</v>
      </c>
      <c r="I29" s="2">
        <v>4000</v>
      </c>
    </row>
    <row r="30" spans="1:10" s="2" customFormat="1">
      <c r="A30" s="9" t="s">
        <v>9</v>
      </c>
      <c r="B30" s="14" t="s">
        <v>50</v>
      </c>
      <c r="C30" s="14" t="s">
        <v>9</v>
      </c>
      <c r="D30" s="14" t="s">
        <v>25</v>
      </c>
      <c r="E30" s="11">
        <v>44439</v>
      </c>
      <c r="F30" s="15" t="s">
        <v>22</v>
      </c>
      <c r="G30" s="15">
        <v>44873</v>
      </c>
      <c r="H30" s="13" t="s">
        <v>23</v>
      </c>
      <c r="I30" s="2">
        <v>4000</v>
      </c>
    </row>
    <row r="31" spans="1:10">
      <c r="A31" s="9" t="s">
        <v>9</v>
      </c>
      <c r="B31" s="10" t="s">
        <v>51</v>
      </c>
      <c r="C31" s="10" t="s">
        <v>9</v>
      </c>
      <c r="D31" s="10" t="s">
        <v>25</v>
      </c>
      <c r="E31" s="11">
        <v>44561</v>
      </c>
      <c r="F31" s="12" t="s">
        <v>22</v>
      </c>
      <c r="G31" s="12">
        <v>44813</v>
      </c>
      <c r="H31" s="13" t="s">
        <v>23</v>
      </c>
      <c r="I31" s="2">
        <v>4000</v>
      </c>
    </row>
    <row r="32" spans="1:10">
      <c r="A32" s="9" t="s">
        <v>9</v>
      </c>
      <c r="B32" s="10" t="s">
        <v>52</v>
      </c>
      <c r="C32" s="10" t="s">
        <v>166</v>
      </c>
      <c r="D32" s="10" t="s">
        <v>36</v>
      </c>
      <c r="E32" s="11">
        <v>44726</v>
      </c>
      <c r="F32" s="12" t="s">
        <v>37</v>
      </c>
      <c r="G32" s="12"/>
      <c r="H32" s="13" t="s">
        <v>23</v>
      </c>
      <c r="I32" s="2">
        <v>2000</v>
      </c>
    </row>
    <row r="33" spans="1:9">
      <c r="A33" s="9" t="s">
        <v>9</v>
      </c>
      <c r="B33" s="10" t="s">
        <v>53</v>
      </c>
      <c r="C33" s="10" t="s">
        <v>9</v>
      </c>
      <c r="D33" s="10" t="s">
        <v>36</v>
      </c>
      <c r="E33" s="11">
        <v>44775</v>
      </c>
      <c r="F33" s="12" t="s">
        <v>37</v>
      </c>
      <c r="G33" s="12"/>
      <c r="H33" s="13" t="s">
        <v>23</v>
      </c>
      <c r="I33" s="2">
        <v>2000</v>
      </c>
    </row>
    <row r="34" spans="1:9">
      <c r="A34" s="9" t="s">
        <v>9</v>
      </c>
      <c r="B34" s="10" t="s">
        <v>54</v>
      </c>
      <c r="C34" s="10" t="s">
        <v>9</v>
      </c>
      <c r="D34" s="10" t="s">
        <v>25</v>
      </c>
      <c r="E34" s="11">
        <v>44708</v>
      </c>
      <c r="F34" s="12" t="s">
        <v>22</v>
      </c>
      <c r="G34" s="12">
        <v>44817</v>
      </c>
      <c r="H34" s="13" t="s">
        <v>23</v>
      </c>
      <c r="I34" s="2">
        <v>4000</v>
      </c>
    </row>
    <row r="35" spans="1:9">
      <c r="A35" s="9" t="s">
        <v>9</v>
      </c>
      <c r="B35" s="10" t="s">
        <v>55</v>
      </c>
      <c r="C35" s="10" t="s">
        <v>9</v>
      </c>
      <c r="D35" s="10" t="s">
        <v>25</v>
      </c>
      <c r="E35" s="11">
        <v>44711</v>
      </c>
      <c r="F35" s="12" t="s">
        <v>22</v>
      </c>
      <c r="G35" s="12">
        <v>44911</v>
      </c>
      <c r="H35" s="13" t="s">
        <v>23</v>
      </c>
      <c r="I35" s="2">
        <v>4000</v>
      </c>
    </row>
    <row r="36" spans="1:9">
      <c r="A36" s="9" t="s">
        <v>9</v>
      </c>
      <c r="B36" s="10" t="s">
        <v>56</v>
      </c>
      <c r="C36" s="10" t="s">
        <v>9</v>
      </c>
      <c r="D36" s="10" t="s">
        <v>25</v>
      </c>
      <c r="E36" s="11">
        <v>44725</v>
      </c>
      <c r="F36" s="12" t="s">
        <v>22</v>
      </c>
      <c r="G36" s="12">
        <v>44915</v>
      </c>
      <c r="H36" s="13" t="s">
        <v>23</v>
      </c>
      <c r="I36" s="2">
        <v>4000</v>
      </c>
    </row>
    <row r="37" spans="1:9">
      <c r="A37" s="9" t="s">
        <v>9</v>
      </c>
      <c r="B37" s="10" t="s">
        <v>57</v>
      </c>
      <c r="C37" s="10" t="s">
        <v>166</v>
      </c>
      <c r="D37" s="10" t="s">
        <v>25</v>
      </c>
      <c r="E37" s="11">
        <v>44725</v>
      </c>
      <c r="F37" s="12" t="s">
        <v>22</v>
      </c>
      <c r="G37" s="12">
        <v>44880</v>
      </c>
      <c r="H37" s="13" t="s">
        <v>23</v>
      </c>
      <c r="I37" s="2">
        <v>4000</v>
      </c>
    </row>
    <row r="38" spans="1:9">
      <c r="A38" s="9" t="s">
        <v>9</v>
      </c>
      <c r="B38" s="10" t="s">
        <v>58</v>
      </c>
      <c r="C38" s="10" t="s">
        <v>166</v>
      </c>
      <c r="D38" s="10" t="s">
        <v>25</v>
      </c>
      <c r="E38" s="11">
        <v>44723</v>
      </c>
      <c r="F38" s="12" t="s">
        <v>22</v>
      </c>
      <c r="G38" s="12">
        <v>44838</v>
      </c>
      <c r="H38" s="13" t="s">
        <v>23</v>
      </c>
      <c r="I38" s="2">
        <v>4000</v>
      </c>
    </row>
    <row r="39" spans="1:9">
      <c r="A39" s="9" t="s">
        <v>9</v>
      </c>
      <c r="B39" s="10" t="s">
        <v>59</v>
      </c>
      <c r="C39" s="10" t="s">
        <v>9</v>
      </c>
      <c r="D39" s="10" t="s">
        <v>25</v>
      </c>
      <c r="E39" s="11">
        <v>44729</v>
      </c>
      <c r="F39" s="12" t="s">
        <v>22</v>
      </c>
      <c r="G39" s="12">
        <v>44911</v>
      </c>
      <c r="H39" s="13" t="s">
        <v>23</v>
      </c>
      <c r="I39" s="2">
        <v>4000</v>
      </c>
    </row>
    <row r="40" spans="1:9">
      <c r="A40" s="9" t="s">
        <v>9</v>
      </c>
      <c r="B40" s="10" t="s">
        <v>60</v>
      </c>
      <c r="C40" s="10" t="s">
        <v>9</v>
      </c>
      <c r="D40" s="10" t="s">
        <v>25</v>
      </c>
      <c r="E40" s="11">
        <v>44749</v>
      </c>
      <c r="F40" s="12" t="s">
        <v>22</v>
      </c>
      <c r="G40" s="12">
        <v>44873</v>
      </c>
      <c r="H40" s="13" t="s">
        <v>23</v>
      </c>
      <c r="I40" s="2">
        <v>4000</v>
      </c>
    </row>
    <row r="41" spans="1:9">
      <c r="A41" s="9" t="s">
        <v>9</v>
      </c>
      <c r="B41" s="10" t="s">
        <v>61</v>
      </c>
      <c r="C41" s="10" t="s">
        <v>9</v>
      </c>
      <c r="D41" s="10" t="s">
        <v>25</v>
      </c>
      <c r="E41" s="11">
        <v>44764</v>
      </c>
      <c r="F41" s="12" t="s">
        <v>22</v>
      </c>
      <c r="G41" s="12">
        <v>44901</v>
      </c>
      <c r="H41" s="13" t="s">
        <v>23</v>
      </c>
      <c r="I41" s="2">
        <v>4000</v>
      </c>
    </row>
    <row r="42" spans="1:9">
      <c r="A42" s="9" t="s">
        <v>9</v>
      </c>
      <c r="B42" s="10" t="s">
        <v>62</v>
      </c>
      <c r="C42" s="10" t="s">
        <v>9</v>
      </c>
      <c r="D42" s="10" t="s">
        <v>25</v>
      </c>
      <c r="E42" s="11">
        <v>44770</v>
      </c>
      <c r="F42" s="12" t="s">
        <v>22</v>
      </c>
      <c r="G42" s="12">
        <v>44897</v>
      </c>
      <c r="H42" s="13" t="s">
        <v>23</v>
      </c>
      <c r="I42" s="2">
        <v>4000</v>
      </c>
    </row>
    <row r="43" spans="1:9">
      <c r="A43" s="9" t="s">
        <v>9</v>
      </c>
      <c r="B43" s="10" t="s">
        <v>63</v>
      </c>
      <c r="C43" s="10" t="s">
        <v>9</v>
      </c>
      <c r="D43" s="10" t="s">
        <v>25</v>
      </c>
      <c r="E43" s="11">
        <v>44775</v>
      </c>
      <c r="F43" s="12" t="s">
        <v>22</v>
      </c>
      <c r="G43" s="12">
        <v>45265</v>
      </c>
      <c r="H43" s="13" t="s">
        <v>23</v>
      </c>
      <c r="I43" s="2">
        <v>4000</v>
      </c>
    </row>
    <row r="44" spans="1:9">
      <c r="A44" s="9" t="s">
        <v>9</v>
      </c>
      <c r="B44" s="10" t="s">
        <v>64</v>
      </c>
      <c r="C44" s="10" t="s">
        <v>9</v>
      </c>
      <c r="D44" s="10" t="s">
        <v>25</v>
      </c>
      <c r="E44" s="11">
        <v>44798</v>
      </c>
      <c r="F44" s="12" t="s">
        <v>22</v>
      </c>
      <c r="G44" s="12">
        <v>44901</v>
      </c>
      <c r="H44" s="13" t="s">
        <v>23</v>
      </c>
      <c r="I44" s="2">
        <v>4000</v>
      </c>
    </row>
    <row r="45" spans="1:9">
      <c r="A45" s="9" t="s">
        <v>9</v>
      </c>
      <c r="B45" s="10" t="s">
        <v>65</v>
      </c>
      <c r="C45" s="10" t="s">
        <v>9</v>
      </c>
      <c r="D45" s="10" t="s">
        <v>25</v>
      </c>
      <c r="E45" s="11">
        <v>44798</v>
      </c>
      <c r="F45" s="12" t="s">
        <v>22</v>
      </c>
      <c r="G45" s="12">
        <v>44915</v>
      </c>
      <c r="H45" s="13" t="s">
        <v>23</v>
      </c>
      <c r="I45" s="2">
        <v>4000</v>
      </c>
    </row>
    <row r="46" spans="1:9">
      <c r="A46" s="9" t="s">
        <v>9</v>
      </c>
      <c r="B46" s="10" t="s">
        <v>66</v>
      </c>
      <c r="C46" s="10" t="s">
        <v>9</v>
      </c>
      <c r="D46" s="10" t="s">
        <v>25</v>
      </c>
      <c r="E46" s="11">
        <v>44818</v>
      </c>
      <c r="F46" s="12" t="s">
        <v>22</v>
      </c>
      <c r="G46" s="12">
        <v>44943</v>
      </c>
      <c r="H46" s="13" t="s">
        <v>23</v>
      </c>
      <c r="I46" s="2">
        <v>4000</v>
      </c>
    </row>
    <row r="47" spans="1:9">
      <c r="A47" s="9" t="s">
        <v>9</v>
      </c>
      <c r="B47" s="10" t="s">
        <v>67</v>
      </c>
      <c r="C47" s="10" t="s">
        <v>9</v>
      </c>
      <c r="D47" s="10" t="s">
        <v>25</v>
      </c>
      <c r="E47" s="11">
        <v>44862</v>
      </c>
      <c r="F47" s="12" t="s">
        <v>22</v>
      </c>
      <c r="G47" s="12">
        <v>45009</v>
      </c>
      <c r="H47" s="13" t="s">
        <v>23</v>
      </c>
      <c r="I47" s="2">
        <v>4000</v>
      </c>
    </row>
    <row r="48" spans="1:9">
      <c r="A48" s="9" t="s">
        <v>9</v>
      </c>
      <c r="B48" s="10" t="s">
        <v>68</v>
      </c>
      <c r="C48" s="10" t="s">
        <v>9</v>
      </c>
      <c r="D48" s="10" t="s">
        <v>25</v>
      </c>
      <c r="E48" s="11">
        <v>44862</v>
      </c>
      <c r="F48" s="12" t="s">
        <v>22</v>
      </c>
      <c r="G48" s="12">
        <v>45009</v>
      </c>
      <c r="H48" s="13" t="s">
        <v>23</v>
      </c>
      <c r="I48" s="2">
        <v>4000</v>
      </c>
    </row>
    <row r="49" spans="1:9">
      <c r="A49" s="9" t="s">
        <v>9</v>
      </c>
      <c r="B49" s="10" t="s">
        <v>69</v>
      </c>
      <c r="C49" s="10" t="s">
        <v>9</v>
      </c>
      <c r="D49" s="10" t="s">
        <v>25</v>
      </c>
      <c r="E49" s="11">
        <v>44916</v>
      </c>
      <c r="F49" s="12" t="s">
        <v>22</v>
      </c>
      <c r="G49" s="12">
        <v>45041</v>
      </c>
      <c r="H49" s="13" t="s">
        <v>23</v>
      </c>
      <c r="I49" s="2">
        <v>4000</v>
      </c>
    </row>
    <row r="50" spans="1:9">
      <c r="A50" s="9" t="s">
        <v>9</v>
      </c>
      <c r="B50" s="10" t="s">
        <v>70</v>
      </c>
      <c r="C50" s="10" t="s">
        <v>9</v>
      </c>
      <c r="D50" s="10" t="s">
        <v>25</v>
      </c>
      <c r="E50" s="11">
        <v>44918</v>
      </c>
      <c r="F50" s="12" t="s">
        <v>22</v>
      </c>
      <c r="G50" s="12">
        <v>45090</v>
      </c>
      <c r="H50" s="13" t="s">
        <v>23</v>
      </c>
      <c r="I50" s="2">
        <v>4000</v>
      </c>
    </row>
    <row r="51" spans="1:9">
      <c r="A51" s="9" t="s">
        <v>9</v>
      </c>
      <c r="B51" s="10" t="s">
        <v>71</v>
      </c>
      <c r="C51" s="10" t="s">
        <v>9</v>
      </c>
      <c r="D51" s="10" t="s">
        <v>25</v>
      </c>
      <c r="E51" s="11">
        <v>44918</v>
      </c>
      <c r="F51" s="12" t="s">
        <v>22</v>
      </c>
      <c r="G51" s="12">
        <v>45114</v>
      </c>
      <c r="H51" s="13" t="s">
        <v>23</v>
      </c>
      <c r="I51" s="2">
        <v>4000</v>
      </c>
    </row>
    <row r="52" spans="1:9">
      <c r="A52" s="9" t="s">
        <v>9</v>
      </c>
      <c r="B52" s="10" t="s">
        <v>72</v>
      </c>
      <c r="C52" s="10" t="s">
        <v>9</v>
      </c>
      <c r="D52" s="10" t="s">
        <v>36</v>
      </c>
      <c r="E52" s="11">
        <v>45020</v>
      </c>
      <c r="F52" s="12" t="s">
        <v>37</v>
      </c>
      <c r="G52" s="12"/>
      <c r="H52" s="13" t="s">
        <v>23</v>
      </c>
      <c r="I52" s="2">
        <v>2000</v>
      </c>
    </row>
    <row r="53" spans="1:9">
      <c r="A53" s="9" t="s">
        <v>9</v>
      </c>
      <c r="B53" s="10" t="s">
        <v>73</v>
      </c>
      <c r="C53" s="10" t="s">
        <v>9</v>
      </c>
      <c r="D53" s="10" t="s">
        <v>36</v>
      </c>
      <c r="E53" s="11">
        <v>45086</v>
      </c>
      <c r="F53" s="12" t="s">
        <v>37</v>
      </c>
      <c r="G53" s="12"/>
      <c r="H53" s="13" t="s">
        <v>23</v>
      </c>
      <c r="I53" s="2">
        <v>2000</v>
      </c>
    </row>
    <row r="54" spans="1:9">
      <c r="A54" s="9" t="s">
        <v>9</v>
      </c>
      <c r="B54" s="10" t="s">
        <v>74</v>
      </c>
      <c r="C54" s="10" t="s">
        <v>9</v>
      </c>
      <c r="D54" s="10" t="s">
        <v>36</v>
      </c>
      <c r="E54" s="11">
        <v>45089</v>
      </c>
      <c r="F54" s="12" t="s">
        <v>37</v>
      </c>
      <c r="G54" s="12"/>
      <c r="H54" s="13" t="s">
        <v>23</v>
      </c>
      <c r="I54" s="2">
        <v>2000</v>
      </c>
    </row>
    <row r="55" spans="1:9">
      <c r="A55" s="9" t="s">
        <v>9</v>
      </c>
      <c r="B55" s="10" t="s">
        <v>75</v>
      </c>
      <c r="C55" s="10" t="s">
        <v>9</v>
      </c>
      <c r="D55" s="10" t="s">
        <v>36</v>
      </c>
      <c r="E55" s="11">
        <v>45138</v>
      </c>
      <c r="F55" s="12" t="s">
        <v>37</v>
      </c>
      <c r="G55" s="12"/>
      <c r="H55" s="13" t="s">
        <v>23</v>
      </c>
      <c r="I55" s="2">
        <v>2000</v>
      </c>
    </row>
    <row r="56" spans="1:9">
      <c r="A56" s="9" t="s">
        <v>9</v>
      </c>
      <c r="B56" s="10" t="s">
        <v>76</v>
      </c>
      <c r="C56" s="10" t="s">
        <v>168</v>
      </c>
      <c r="D56" s="10" t="s">
        <v>25</v>
      </c>
      <c r="E56" s="11">
        <v>45002</v>
      </c>
      <c r="F56" s="12" t="s">
        <v>22</v>
      </c>
      <c r="G56" s="12">
        <v>45331</v>
      </c>
      <c r="H56" s="13" t="s">
        <v>23</v>
      </c>
      <c r="I56" s="2">
        <v>4000</v>
      </c>
    </row>
    <row r="57" spans="1:9">
      <c r="A57" s="9" t="s">
        <v>9</v>
      </c>
      <c r="B57" s="10" t="s">
        <v>77</v>
      </c>
      <c r="C57" s="10" t="s">
        <v>9</v>
      </c>
      <c r="D57" s="10" t="s">
        <v>25</v>
      </c>
      <c r="E57" s="11">
        <v>45028</v>
      </c>
      <c r="F57" s="12" t="s">
        <v>22</v>
      </c>
      <c r="G57" s="12">
        <v>45191</v>
      </c>
      <c r="H57" s="13" t="s">
        <v>23</v>
      </c>
      <c r="I57" s="2">
        <v>4000</v>
      </c>
    </row>
    <row r="58" spans="1:9">
      <c r="A58" s="9" t="s">
        <v>9</v>
      </c>
      <c r="B58" s="10" t="s">
        <v>78</v>
      </c>
      <c r="C58" s="10" t="s">
        <v>9</v>
      </c>
      <c r="D58" s="10" t="s">
        <v>25</v>
      </c>
      <c r="E58" s="11">
        <v>45063</v>
      </c>
      <c r="F58" s="12" t="s">
        <v>22</v>
      </c>
      <c r="G58" s="12">
        <v>45191</v>
      </c>
      <c r="H58" s="13" t="s">
        <v>23</v>
      </c>
      <c r="I58" s="2">
        <v>4000</v>
      </c>
    </row>
    <row r="59" spans="1:9">
      <c r="A59" s="9" t="s">
        <v>9</v>
      </c>
      <c r="B59" s="10" t="s">
        <v>79</v>
      </c>
      <c r="C59" s="10" t="s">
        <v>9</v>
      </c>
      <c r="D59" s="10" t="s">
        <v>25</v>
      </c>
      <c r="E59" s="11">
        <v>45063</v>
      </c>
      <c r="F59" s="12" t="s">
        <v>22</v>
      </c>
      <c r="G59" s="12">
        <v>45265</v>
      </c>
      <c r="H59" s="13" t="s">
        <v>23</v>
      </c>
      <c r="I59" s="2">
        <v>4000</v>
      </c>
    </row>
    <row r="60" spans="1:9">
      <c r="A60" s="9" t="s">
        <v>9</v>
      </c>
      <c r="B60" s="10" t="s">
        <v>80</v>
      </c>
      <c r="C60" s="10" t="s">
        <v>169</v>
      </c>
      <c r="D60" s="10" t="s">
        <v>25</v>
      </c>
      <c r="E60" s="11">
        <v>45086</v>
      </c>
      <c r="F60" s="12" t="s">
        <v>22</v>
      </c>
      <c r="G60" s="12">
        <v>45261</v>
      </c>
      <c r="H60" s="13" t="s">
        <v>23</v>
      </c>
      <c r="I60" s="2">
        <v>4000</v>
      </c>
    </row>
    <row r="61" spans="1:9">
      <c r="A61" s="9" t="s">
        <v>9</v>
      </c>
      <c r="B61" s="10" t="s">
        <v>81</v>
      </c>
      <c r="C61" s="10" t="s">
        <v>9</v>
      </c>
      <c r="D61" s="10" t="s">
        <v>25</v>
      </c>
      <c r="E61" s="11">
        <v>45089</v>
      </c>
      <c r="F61" s="12" t="s">
        <v>22</v>
      </c>
      <c r="G61" s="12">
        <v>45265</v>
      </c>
      <c r="H61" s="13" t="s">
        <v>23</v>
      </c>
      <c r="I61" s="2">
        <v>4000</v>
      </c>
    </row>
    <row r="62" spans="1:9">
      <c r="A62" s="9" t="s">
        <v>9</v>
      </c>
      <c r="B62" s="10" t="s">
        <v>82</v>
      </c>
      <c r="C62" s="10" t="s">
        <v>9</v>
      </c>
      <c r="D62" s="10" t="s">
        <v>25</v>
      </c>
      <c r="E62" s="11">
        <v>45140</v>
      </c>
      <c r="F62" s="12" t="s">
        <v>22</v>
      </c>
      <c r="G62" s="12">
        <v>45328</v>
      </c>
      <c r="H62" s="13" t="s">
        <v>23</v>
      </c>
      <c r="I62" s="2">
        <v>4000</v>
      </c>
    </row>
    <row r="63" spans="1:9">
      <c r="A63" s="9" t="s">
        <v>9</v>
      </c>
      <c r="B63" s="10" t="s">
        <v>83</v>
      </c>
      <c r="C63" s="10" t="s">
        <v>9</v>
      </c>
      <c r="D63" s="10" t="s">
        <v>25</v>
      </c>
      <c r="E63" s="11">
        <v>45142</v>
      </c>
      <c r="F63" s="12" t="s">
        <v>22</v>
      </c>
      <c r="G63" s="12">
        <v>45373</v>
      </c>
      <c r="H63" s="13" t="s">
        <v>23</v>
      </c>
      <c r="I63" s="2">
        <v>4000</v>
      </c>
    </row>
    <row r="64" spans="1:9">
      <c r="A64" s="9" t="s">
        <v>9</v>
      </c>
      <c r="B64" s="10" t="s">
        <v>84</v>
      </c>
      <c r="C64" s="10" t="s">
        <v>9</v>
      </c>
      <c r="D64" s="10" t="s">
        <v>25</v>
      </c>
      <c r="E64" s="11">
        <v>45142</v>
      </c>
      <c r="F64" s="12" t="s">
        <v>22</v>
      </c>
      <c r="G64" s="12">
        <v>45328</v>
      </c>
      <c r="H64" s="13" t="s">
        <v>23</v>
      </c>
      <c r="I64" s="2">
        <v>4000</v>
      </c>
    </row>
    <row r="65" spans="1:9">
      <c r="A65" s="9" t="s">
        <v>9</v>
      </c>
      <c r="B65" s="10" t="s">
        <v>85</v>
      </c>
      <c r="C65" s="10" t="s">
        <v>9</v>
      </c>
      <c r="D65" s="10" t="s">
        <v>25</v>
      </c>
      <c r="E65" s="11">
        <v>45146</v>
      </c>
      <c r="F65" s="12" t="s">
        <v>22</v>
      </c>
      <c r="G65" s="12">
        <v>45373</v>
      </c>
      <c r="H65" s="13" t="s">
        <v>23</v>
      </c>
      <c r="I65" s="2">
        <v>4000</v>
      </c>
    </row>
    <row r="66" spans="1:9">
      <c r="A66" s="9" t="s">
        <v>9</v>
      </c>
      <c r="B66" s="10" t="s">
        <v>86</v>
      </c>
      <c r="C66" s="10" t="s">
        <v>9</v>
      </c>
      <c r="D66" s="10" t="s">
        <v>25</v>
      </c>
      <c r="E66" s="11">
        <v>45155</v>
      </c>
      <c r="F66" s="12" t="s">
        <v>22</v>
      </c>
      <c r="G66" s="12">
        <v>45373</v>
      </c>
      <c r="H66" s="13" t="s">
        <v>23</v>
      </c>
      <c r="I66" s="2">
        <v>4000</v>
      </c>
    </row>
    <row r="67" spans="1:9">
      <c r="A67" s="9" t="s">
        <v>9</v>
      </c>
      <c r="B67" s="10" t="s">
        <v>87</v>
      </c>
      <c r="C67" s="10" t="s">
        <v>9</v>
      </c>
      <c r="D67" s="10" t="s">
        <v>25</v>
      </c>
      <c r="E67" s="16">
        <v>45162</v>
      </c>
      <c r="F67" s="12" t="s">
        <v>22</v>
      </c>
      <c r="G67" s="12">
        <v>45405</v>
      </c>
      <c r="H67" s="13" t="s">
        <v>23</v>
      </c>
      <c r="I67" s="2">
        <v>4000</v>
      </c>
    </row>
    <row r="68" spans="1:9">
      <c r="A68" s="9" t="s">
        <v>88</v>
      </c>
      <c r="B68" s="10" t="s">
        <v>89</v>
      </c>
      <c r="C68" s="10" t="s">
        <v>167</v>
      </c>
      <c r="D68" s="10" t="s">
        <v>36</v>
      </c>
      <c r="E68" s="11">
        <v>42367</v>
      </c>
      <c r="F68" s="12" t="s">
        <v>90</v>
      </c>
      <c r="G68" s="12">
        <v>43018</v>
      </c>
      <c r="H68" s="13" t="s">
        <v>23</v>
      </c>
      <c r="I68" s="2">
        <v>15000</v>
      </c>
    </row>
    <row r="69" spans="1:9" s="3" customFormat="1">
      <c r="A69" s="17" t="s">
        <v>88</v>
      </c>
      <c r="B69" s="10" t="s">
        <v>91</v>
      </c>
      <c r="C69" s="18" t="s">
        <v>167</v>
      </c>
      <c r="D69" s="18" t="s">
        <v>25</v>
      </c>
      <c r="E69" s="19">
        <v>42367</v>
      </c>
      <c r="F69" s="20" t="s">
        <v>92</v>
      </c>
      <c r="G69" s="20">
        <v>42655</v>
      </c>
      <c r="H69" s="21" t="s">
        <v>23</v>
      </c>
      <c r="I69" s="3">
        <v>300</v>
      </c>
    </row>
    <row r="70" spans="1:9">
      <c r="A70" s="9" t="s">
        <v>88</v>
      </c>
      <c r="B70" s="10" t="s">
        <v>93</v>
      </c>
      <c r="C70" s="10" t="s">
        <v>167</v>
      </c>
      <c r="D70" s="10" t="s">
        <v>25</v>
      </c>
      <c r="E70" s="11">
        <v>42367</v>
      </c>
      <c r="F70" s="12" t="s">
        <v>90</v>
      </c>
      <c r="G70" s="12">
        <v>42529</v>
      </c>
      <c r="H70" s="13" t="s">
        <v>23</v>
      </c>
      <c r="I70" s="2">
        <v>4000</v>
      </c>
    </row>
    <row r="71" spans="1:9">
      <c r="A71" s="9" t="s">
        <v>88</v>
      </c>
      <c r="B71" s="10" t="s">
        <v>94</v>
      </c>
      <c r="C71" s="10" t="s">
        <v>167</v>
      </c>
      <c r="D71" s="10" t="s">
        <v>36</v>
      </c>
      <c r="E71" s="11">
        <v>42374</v>
      </c>
      <c r="F71" s="12" t="s">
        <v>90</v>
      </c>
      <c r="G71" s="12">
        <v>42934</v>
      </c>
      <c r="H71" s="13" t="s">
        <v>23</v>
      </c>
      <c r="I71" s="2">
        <v>4000</v>
      </c>
    </row>
    <row r="72" spans="1:9" s="3" customFormat="1">
      <c r="A72" s="17" t="s">
        <v>88</v>
      </c>
      <c r="B72" s="10" t="s">
        <v>95</v>
      </c>
      <c r="C72" s="18" t="s">
        <v>167</v>
      </c>
      <c r="D72" s="18" t="s">
        <v>25</v>
      </c>
      <c r="E72" s="19">
        <v>42374</v>
      </c>
      <c r="F72" s="20" t="s">
        <v>92</v>
      </c>
      <c r="G72" s="20">
        <v>42634</v>
      </c>
      <c r="H72" s="21" t="s">
        <v>23</v>
      </c>
      <c r="I72" s="3">
        <v>300</v>
      </c>
    </row>
    <row r="73" spans="1:9" s="3" customFormat="1">
      <c r="A73" s="17" t="s">
        <v>88</v>
      </c>
      <c r="B73" s="10" t="s">
        <v>96</v>
      </c>
      <c r="C73" s="18" t="s">
        <v>88</v>
      </c>
      <c r="D73" s="18" t="s">
        <v>36</v>
      </c>
      <c r="E73" s="19">
        <v>43874</v>
      </c>
      <c r="F73" s="20" t="s">
        <v>97</v>
      </c>
      <c r="G73" s="20"/>
      <c r="H73" s="21" t="s">
        <v>30</v>
      </c>
      <c r="I73" s="3">
        <v>600</v>
      </c>
    </row>
    <row r="74" spans="1:9" s="3" customFormat="1">
      <c r="A74" s="17" t="s">
        <v>88</v>
      </c>
      <c r="B74" s="10" t="s">
        <v>98</v>
      </c>
      <c r="C74" s="18" t="s">
        <v>88</v>
      </c>
      <c r="D74" s="18" t="s">
        <v>36</v>
      </c>
      <c r="E74" s="19">
        <v>43874</v>
      </c>
      <c r="F74" s="20" t="s">
        <v>97</v>
      </c>
      <c r="G74" s="20"/>
      <c r="H74" s="21" t="s">
        <v>30</v>
      </c>
      <c r="I74" s="3">
        <v>600</v>
      </c>
    </row>
    <row r="75" spans="1:9">
      <c r="A75" s="9" t="s">
        <v>88</v>
      </c>
      <c r="B75" s="10" t="s">
        <v>99</v>
      </c>
      <c r="C75" s="10" t="s">
        <v>88</v>
      </c>
      <c r="D75" s="10" t="s">
        <v>36</v>
      </c>
      <c r="E75" s="11">
        <v>44013</v>
      </c>
      <c r="F75" s="12" t="s">
        <v>22</v>
      </c>
      <c r="G75" s="12">
        <v>44635</v>
      </c>
      <c r="H75" s="13" t="s">
        <v>30</v>
      </c>
      <c r="I75" s="2">
        <v>10000</v>
      </c>
    </row>
    <row r="76" spans="1:9">
      <c r="A76" s="9" t="s">
        <v>88</v>
      </c>
      <c r="B76" s="10" t="s">
        <v>100</v>
      </c>
      <c r="C76" s="10" t="s">
        <v>88</v>
      </c>
      <c r="D76" s="10" t="s">
        <v>36</v>
      </c>
      <c r="E76" s="11">
        <v>44398</v>
      </c>
      <c r="F76" s="12" t="s">
        <v>37</v>
      </c>
      <c r="G76" s="12"/>
      <c r="H76" s="13" t="s">
        <v>23</v>
      </c>
      <c r="I76" s="2">
        <v>2000</v>
      </c>
    </row>
    <row r="77" spans="1:9">
      <c r="A77" s="9" t="s">
        <v>88</v>
      </c>
      <c r="B77" s="10" t="s">
        <v>101</v>
      </c>
      <c r="C77" s="10" t="s">
        <v>88</v>
      </c>
      <c r="D77" s="10" t="s">
        <v>25</v>
      </c>
      <c r="E77" s="11">
        <v>44502</v>
      </c>
      <c r="F77" s="12" t="s">
        <v>22</v>
      </c>
      <c r="G77" s="12">
        <v>44873</v>
      </c>
      <c r="H77" s="13" t="s">
        <v>23</v>
      </c>
      <c r="I77" s="2">
        <v>4000</v>
      </c>
    </row>
    <row r="78" spans="1:9">
      <c r="A78" s="9" t="s">
        <v>88</v>
      </c>
      <c r="B78" s="10" t="s">
        <v>102</v>
      </c>
      <c r="C78" s="10" t="s">
        <v>88</v>
      </c>
      <c r="D78" s="10" t="s">
        <v>25</v>
      </c>
      <c r="E78" s="11">
        <v>44554</v>
      </c>
      <c r="F78" s="12" t="s">
        <v>22</v>
      </c>
      <c r="G78" s="12">
        <v>44901</v>
      </c>
      <c r="H78" s="13" t="s">
        <v>23</v>
      </c>
      <c r="I78" s="2">
        <v>4000</v>
      </c>
    </row>
    <row r="79" spans="1:9">
      <c r="A79" s="9" t="s">
        <v>88</v>
      </c>
      <c r="B79" s="10" t="s">
        <v>103</v>
      </c>
      <c r="C79" s="22" t="s">
        <v>88</v>
      </c>
      <c r="D79" s="10" t="s">
        <v>36</v>
      </c>
      <c r="E79" s="11">
        <v>44736</v>
      </c>
      <c r="F79" s="12" t="s">
        <v>22</v>
      </c>
      <c r="G79" s="12">
        <v>44852</v>
      </c>
      <c r="H79" s="23" t="s">
        <v>30</v>
      </c>
      <c r="I79" s="2">
        <v>10000</v>
      </c>
    </row>
    <row r="80" spans="1:9">
      <c r="A80" s="9" t="s">
        <v>88</v>
      </c>
      <c r="B80" s="10" t="s">
        <v>104</v>
      </c>
      <c r="C80" s="14" t="s">
        <v>88</v>
      </c>
      <c r="D80" s="14" t="s">
        <v>25</v>
      </c>
      <c r="E80" s="11">
        <v>44827</v>
      </c>
      <c r="F80" s="15" t="s">
        <v>22</v>
      </c>
      <c r="G80" s="15">
        <v>45114</v>
      </c>
      <c r="H80" s="13" t="s">
        <v>23</v>
      </c>
      <c r="I80" s="2">
        <v>4000</v>
      </c>
    </row>
    <row r="81" spans="1:9">
      <c r="A81" s="9" t="s">
        <v>88</v>
      </c>
      <c r="B81" s="10" t="s">
        <v>105</v>
      </c>
      <c r="C81" s="10" t="s">
        <v>88</v>
      </c>
      <c r="D81" s="10" t="s">
        <v>36</v>
      </c>
      <c r="E81" s="11">
        <v>45154</v>
      </c>
      <c r="F81" s="12" t="s">
        <v>22</v>
      </c>
      <c r="G81" s="12">
        <v>45412</v>
      </c>
      <c r="H81" s="13" t="s">
        <v>30</v>
      </c>
      <c r="I81" s="2">
        <v>10000</v>
      </c>
    </row>
    <row r="82" spans="1:9">
      <c r="A82" s="9" t="s">
        <v>88</v>
      </c>
      <c r="B82" s="10" t="s">
        <v>106</v>
      </c>
      <c r="C82" s="10" t="s">
        <v>88</v>
      </c>
      <c r="D82" s="10" t="s">
        <v>36</v>
      </c>
      <c r="E82" s="11">
        <v>45285</v>
      </c>
      <c r="F82" s="12" t="s">
        <v>22</v>
      </c>
      <c r="G82" s="12">
        <v>45391</v>
      </c>
      <c r="H82" s="13" t="s">
        <v>30</v>
      </c>
      <c r="I82" s="2">
        <v>10000</v>
      </c>
    </row>
    <row r="83" spans="1:9">
      <c r="A83" s="9" t="s">
        <v>88</v>
      </c>
      <c r="B83" s="10" t="s">
        <v>107</v>
      </c>
      <c r="C83" s="10" t="s">
        <v>88</v>
      </c>
      <c r="D83" s="10" t="s">
        <v>25</v>
      </c>
      <c r="E83" s="11">
        <v>44981</v>
      </c>
      <c r="F83" s="12" t="s">
        <v>22</v>
      </c>
      <c r="G83" s="12">
        <v>45149</v>
      </c>
      <c r="H83" s="13" t="s">
        <v>23</v>
      </c>
      <c r="I83" s="2">
        <v>4000</v>
      </c>
    </row>
    <row r="84" spans="1:9">
      <c r="A84" s="9" t="s">
        <v>88</v>
      </c>
      <c r="B84" s="10" t="s">
        <v>108</v>
      </c>
      <c r="C84" s="10" t="s">
        <v>88</v>
      </c>
      <c r="D84" s="10" t="s">
        <v>25</v>
      </c>
      <c r="E84" s="11">
        <v>45091</v>
      </c>
      <c r="F84" s="12" t="s">
        <v>22</v>
      </c>
      <c r="G84" s="12">
        <v>45265</v>
      </c>
      <c r="H84" s="13" t="s">
        <v>23</v>
      </c>
      <c r="I84" s="2">
        <v>4000</v>
      </c>
    </row>
    <row r="85" spans="1:9">
      <c r="A85" s="9" t="s">
        <v>88</v>
      </c>
      <c r="B85" s="10" t="s">
        <v>109</v>
      </c>
      <c r="C85" s="10" t="s">
        <v>88</v>
      </c>
      <c r="D85" s="10" t="s">
        <v>36</v>
      </c>
      <c r="E85" s="11">
        <v>45300</v>
      </c>
      <c r="F85" s="12" t="s">
        <v>22</v>
      </c>
      <c r="G85" s="12">
        <v>45380</v>
      </c>
      <c r="H85" s="23" t="s">
        <v>23</v>
      </c>
      <c r="I85" s="2">
        <v>15000</v>
      </c>
    </row>
    <row r="86" spans="1:9">
      <c r="A86" s="9" t="s">
        <v>110</v>
      </c>
      <c r="B86" s="10" t="s">
        <v>111</v>
      </c>
      <c r="C86" s="10" t="s">
        <v>110</v>
      </c>
      <c r="D86" s="10" t="s">
        <v>25</v>
      </c>
      <c r="E86" s="11">
        <v>42949</v>
      </c>
      <c r="F86" s="12" t="s">
        <v>22</v>
      </c>
      <c r="G86" s="12">
        <v>43168</v>
      </c>
      <c r="H86" s="13" t="s">
        <v>23</v>
      </c>
      <c r="I86" s="2">
        <v>4000</v>
      </c>
    </row>
    <row r="87" spans="1:9">
      <c r="A87" s="9" t="s">
        <v>110</v>
      </c>
      <c r="B87" s="10" t="s">
        <v>112</v>
      </c>
      <c r="C87" s="10" t="s">
        <v>110</v>
      </c>
      <c r="D87" s="10" t="s">
        <v>25</v>
      </c>
      <c r="E87" s="11">
        <v>42949</v>
      </c>
      <c r="F87" s="12" t="s">
        <v>22</v>
      </c>
      <c r="G87" s="12">
        <v>43168</v>
      </c>
      <c r="H87" s="13" t="s">
        <v>23</v>
      </c>
      <c r="I87" s="2">
        <v>4000</v>
      </c>
    </row>
    <row r="88" spans="1:9">
      <c r="A88" s="9" t="s">
        <v>110</v>
      </c>
      <c r="B88" s="10" t="s">
        <v>113</v>
      </c>
      <c r="C88" s="10" t="s">
        <v>110</v>
      </c>
      <c r="D88" s="10" t="s">
        <v>25</v>
      </c>
      <c r="E88" s="11">
        <v>43343</v>
      </c>
      <c r="F88" s="12" t="s">
        <v>22</v>
      </c>
      <c r="G88" s="12">
        <v>43546</v>
      </c>
      <c r="H88" s="13" t="s">
        <v>23</v>
      </c>
      <c r="I88" s="2">
        <v>4000</v>
      </c>
    </row>
    <row r="89" spans="1:9">
      <c r="A89" s="9" t="s">
        <v>110</v>
      </c>
      <c r="B89" s="10" t="s">
        <v>114</v>
      </c>
      <c r="C89" s="10" t="s">
        <v>110</v>
      </c>
      <c r="D89" s="10" t="s">
        <v>25</v>
      </c>
      <c r="E89" s="11">
        <v>43343</v>
      </c>
      <c r="F89" s="12" t="s">
        <v>22</v>
      </c>
      <c r="G89" s="12">
        <v>43546</v>
      </c>
      <c r="H89" s="13" t="s">
        <v>23</v>
      </c>
      <c r="I89" s="2">
        <v>4000</v>
      </c>
    </row>
    <row r="90" spans="1:9">
      <c r="A90" s="9" t="s">
        <v>110</v>
      </c>
      <c r="B90" s="10" t="s">
        <v>115</v>
      </c>
      <c r="C90" s="10" t="s">
        <v>110</v>
      </c>
      <c r="D90" s="10" t="s">
        <v>25</v>
      </c>
      <c r="E90" s="11">
        <v>43346</v>
      </c>
      <c r="F90" s="12" t="s">
        <v>22</v>
      </c>
      <c r="G90" s="12">
        <v>43546</v>
      </c>
      <c r="H90" s="13" t="s">
        <v>23</v>
      </c>
      <c r="I90" s="2">
        <v>4000</v>
      </c>
    </row>
    <row r="91" spans="1:9">
      <c r="A91" s="9" t="s">
        <v>110</v>
      </c>
      <c r="B91" s="10" t="s">
        <v>116</v>
      </c>
      <c r="C91" s="10" t="s">
        <v>110</v>
      </c>
      <c r="D91" s="10" t="s">
        <v>25</v>
      </c>
      <c r="E91" s="11">
        <v>43732</v>
      </c>
      <c r="F91" s="12" t="s">
        <v>22</v>
      </c>
      <c r="G91" s="12">
        <v>44001</v>
      </c>
      <c r="H91" s="13" t="s">
        <v>23</v>
      </c>
      <c r="I91" s="2">
        <v>4000</v>
      </c>
    </row>
    <row r="92" spans="1:9">
      <c r="A92" s="9" t="s">
        <v>110</v>
      </c>
      <c r="B92" s="10" t="s">
        <v>117</v>
      </c>
      <c r="C92" s="10" t="s">
        <v>110</v>
      </c>
      <c r="D92" s="10" t="s">
        <v>25</v>
      </c>
      <c r="E92" s="11">
        <v>43732</v>
      </c>
      <c r="F92" s="12" t="s">
        <v>22</v>
      </c>
      <c r="G92" s="12">
        <v>43945</v>
      </c>
      <c r="H92" s="13" t="s">
        <v>23</v>
      </c>
      <c r="I92" s="2">
        <v>4000</v>
      </c>
    </row>
    <row r="93" spans="1:9">
      <c r="A93" s="9" t="s">
        <v>110</v>
      </c>
      <c r="B93" s="10" t="s">
        <v>118</v>
      </c>
      <c r="C93" s="10" t="s">
        <v>110</v>
      </c>
      <c r="D93" s="10" t="s">
        <v>25</v>
      </c>
      <c r="E93" s="11">
        <v>43735</v>
      </c>
      <c r="F93" s="12" t="s">
        <v>22</v>
      </c>
      <c r="G93" s="12">
        <v>43991</v>
      </c>
      <c r="H93" s="13" t="s">
        <v>23</v>
      </c>
      <c r="I93" s="2">
        <v>4000</v>
      </c>
    </row>
    <row r="94" spans="1:9">
      <c r="A94" s="9" t="s">
        <v>110</v>
      </c>
      <c r="B94" s="10" t="s">
        <v>119</v>
      </c>
      <c r="C94" s="10" t="s">
        <v>110</v>
      </c>
      <c r="D94" s="10" t="s">
        <v>25</v>
      </c>
      <c r="E94" s="11">
        <v>43735</v>
      </c>
      <c r="F94" s="12" t="s">
        <v>22</v>
      </c>
      <c r="G94" s="12">
        <v>43945</v>
      </c>
      <c r="H94" s="13" t="s">
        <v>23</v>
      </c>
      <c r="I94" s="2">
        <v>4000</v>
      </c>
    </row>
    <row r="95" spans="1:9">
      <c r="A95" s="9" t="s">
        <v>110</v>
      </c>
      <c r="B95" s="10" t="s">
        <v>120</v>
      </c>
      <c r="C95" s="10" t="s">
        <v>110</v>
      </c>
      <c r="D95" s="10" t="s">
        <v>25</v>
      </c>
      <c r="E95" s="11">
        <v>43735</v>
      </c>
      <c r="F95" s="12" t="s">
        <v>22</v>
      </c>
      <c r="G95" s="12">
        <v>43977</v>
      </c>
      <c r="H95" s="13" t="s">
        <v>23</v>
      </c>
      <c r="I95" s="2">
        <v>4000</v>
      </c>
    </row>
    <row r="96" spans="1:9" s="3" customFormat="1">
      <c r="A96" s="17" t="s">
        <v>110</v>
      </c>
      <c r="B96" s="10" t="s">
        <v>121</v>
      </c>
      <c r="C96" s="18" t="s">
        <v>110</v>
      </c>
      <c r="D96" s="18" t="s">
        <v>36</v>
      </c>
      <c r="E96" s="19">
        <v>44117</v>
      </c>
      <c r="F96" s="20" t="s">
        <v>97</v>
      </c>
      <c r="G96" s="20"/>
      <c r="H96" s="21" t="s">
        <v>23</v>
      </c>
      <c r="I96" s="3">
        <v>600</v>
      </c>
    </row>
    <row r="97" spans="1:9">
      <c r="A97" s="9" t="s">
        <v>110</v>
      </c>
      <c r="B97" s="10" t="s">
        <v>122</v>
      </c>
      <c r="C97" s="10" t="s">
        <v>110</v>
      </c>
      <c r="D97" s="10" t="s">
        <v>25</v>
      </c>
      <c r="E97" s="11">
        <v>44117</v>
      </c>
      <c r="F97" s="12" t="s">
        <v>22</v>
      </c>
      <c r="G97" s="12">
        <v>44313</v>
      </c>
      <c r="H97" s="13" t="s">
        <v>23</v>
      </c>
      <c r="I97" s="2">
        <v>4000</v>
      </c>
    </row>
    <row r="98" spans="1:9">
      <c r="A98" s="9" t="s">
        <v>110</v>
      </c>
      <c r="B98" s="10" t="s">
        <v>123</v>
      </c>
      <c r="C98" s="10" t="s">
        <v>110</v>
      </c>
      <c r="D98" s="10" t="s">
        <v>25</v>
      </c>
      <c r="E98" s="11">
        <v>44117</v>
      </c>
      <c r="F98" s="12" t="s">
        <v>22</v>
      </c>
      <c r="G98" s="12">
        <v>44313</v>
      </c>
      <c r="H98" s="13" t="s">
        <v>23</v>
      </c>
      <c r="I98" s="2">
        <v>4000</v>
      </c>
    </row>
    <row r="99" spans="1:9">
      <c r="A99" s="9" t="s">
        <v>110</v>
      </c>
      <c r="B99" s="10" t="s">
        <v>124</v>
      </c>
      <c r="C99" s="10" t="s">
        <v>110</v>
      </c>
      <c r="D99" s="10" t="s">
        <v>25</v>
      </c>
      <c r="E99" s="11">
        <v>44127</v>
      </c>
      <c r="F99" s="12" t="s">
        <v>22</v>
      </c>
      <c r="G99" s="12">
        <v>44351</v>
      </c>
      <c r="H99" s="13" t="s">
        <v>23</v>
      </c>
      <c r="I99" s="2">
        <v>4000</v>
      </c>
    </row>
    <row r="100" spans="1:9">
      <c r="A100" s="9" t="s">
        <v>110</v>
      </c>
      <c r="B100" s="10" t="s">
        <v>125</v>
      </c>
      <c r="C100" s="10" t="s">
        <v>110</v>
      </c>
      <c r="D100" s="10" t="s">
        <v>25</v>
      </c>
      <c r="E100" s="11">
        <v>44127</v>
      </c>
      <c r="F100" s="12" t="s">
        <v>22</v>
      </c>
      <c r="G100" s="12">
        <v>44313</v>
      </c>
      <c r="H100" s="13" t="s">
        <v>23</v>
      </c>
      <c r="I100" s="2">
        <v>4000</v>
      </c>
    </row>
    <row r="101" spans="1:9">
      <c r="A101" s="9" t="s">
        <v>110</v>
      </c>
      <c r="B101" s="10" t="s">
        <v>126</v>
      </c>
      <c r="C101" s="10" t="s">
        <v>110</v>
      </c>
      <c r="D101" s="10" t="s">
        <v>25</v>
      </c>
      <c r="E101" s="11">
        <v>44127</v>
      </c>
      <c r="F101" s="12" t="s">
        <v>22</v>
      </c>
      <c r="G101" s="12">
        <v>44348</v>
      </c>
      <c r="H101" s="13" t="s">
        <v>23</v>
      </c>
      <c r="I101" s="2">
        <v>4000</v>
      </c>
    </row>
    <row r="102" spans="1:9">
      <c r="A102" s="9" t="s">
        <v>110</v>
      </c>
      <c r="B102" s="10" t="s">
        <v>127</v>
      </c>
      <c r="C102" s="10" t="s">
        <v>110</v>
      </c>
      <c r="D102" s="10" t="s">
        <v>25</v>
      </c>
      <c r="E102" s="11">
        <v>44414</v>
      </c>
      <c r="F102" s="12" t="s">
        <v>22</v>
      </c>
      <c r="G102" s="12">
        <v>44554</v>
      </c>
      <c r="H102" s="13" t="s">
        <v>23</v>
      </c>
      <c r="I102" s="2">
        <v>4000</v>
      </c>
    </row>
    <row r="103" spans="1:9">
      <c r="A103" s="9" t="s">
        <v>110</v>
      </c>
      <c r="B103" s="10" t="s">
        <v>128</v>
      </c>
      <c r="C103" s="10" t="s">
        <v>110</v>
      </c>
      <c r="D103" s="10" t="s">
        <v>25</v>
      </c>
      <c r="E103" s="11">
        <v>44414</v>
      </c>
      <c r="F103" s="12" t="s">
        <v>22</v>
      </c>
      <c r="G103" s="12">
        <v>44691</v>
      </c>
      <c r="H103" s="13" t="s">
        <v>23</v>
      </c>
      <c r="I103" s="2">
        <v>4000</v>
      </c>
    </row>
    <row r="104" spans="1:9">
      <c r="A104" s="9" t="s">
        <v>110</v>
      </c>
      <c r="B104" s="10" t="s">
        <v>129</v>
      </c>
      <c r="C104" s="10" t="s">
        <v>110</v>
      </c>
      <c r="D104" s="10" t="s">
        <v>25</v>
      </c>
      <c r="E104" s="11">
        <v>44414</v>
      </c>
      <c r="F104" s="12" t="s">
        <v>22</v>
      </c>
      <c r="G104" s="12">
        <v>44572</v>
      </c>
      <c r="H104" s="13" t="s">
        <v>23</v>
      </c>
      <c r="I104" s="2">
        <v>4000</v>
      </c>
    </row>
    <row r="105" spans="1:9">
      <c r="A105" s="9" t="s">
        <v>110</v>
      </c>
      <c r="B105" s="10" t="s">
        <v>130</v>
      </c>
      <c r="C105" s="10" t="s">
        <v>110</v>
      </c>
      <c r="D105" s="10" t="s">
        <v>25</v>
      </c>
      <c r="E105" s="11">
        <v>44414</v>
      </c>
      <c r="F105" s="12" t="s">
        <v>22</v>
      </c>
      <c r="G105" s="12">
        <v>44572</v>
      </c>
      <c r="H105" s="13" t="s">
        <v>23</v>
      </c>
      <c r="I105" s="2">
        <v>4000</v>
      </c>
    </row>
    <row r="106" spans="1:9">
      <c r="A106" s="9" t="s">
        <v>110</v>
      </c>
      <c r="B106" s="10" t="s">
        <v>131</v>
      </c>
      <c r="C106" s="10" t="s">
        <v>110</v>
      </c>
      <c r="D106" s="10" t="s">
        <v>25</v>
      </c>
      <c r="E106" s="11">
        <v>44418</v>
      </c>
      <c r="F106" s="12" t="s">
        <v>22</v>
      </c>
      <c r="G106" s="12">
        <v>44831</v>
      </c>
      <c r="H106" s="13" t="s">
        <v>23</v>
      </c>
      <c r="I106" s="2">
        <v>4000</v>
      </c>
    </row>
    <row r="107" spans="1:9">
      <c r="A107" s="9" t="s">
        <v>110</v>
      </c>
      <c r="B107" s="10" t="s">
        <v>132</v>
      </c>
      <c r="C107" s="10" t="s">
        <v>110</v>
      </c>
      <c r="D107" s="10" t="s">
        <v>25</v>
      </c>
      <c r="E107" s="11">
        <v>44568</v>
      </c>
      <c r="F107" s="12" t="s">
        <v>22</v>
      </c>
      <c r="G107" s="12">
        <v>44789</v>
      </c>
      <c r="H107" s="13" t="s">
        <v>23</v>
      </c>
      <c r="I107" s="2">
        <v>4000</v>
      </c>
    </row>
    <row r="108" spans="1:9">
      <c r="A108" s="9" t="s">
        <v>110</v>
      </c>
      <c r="B108" s="10" t="s">
        <v>133</v>
      </c>
      <c r="C108" s="10" t="s">
        <v>110</v>
      </c>
      <c r="D108" s="10" t="s">
        <v>25</v>
      </c>
      <c r="E108" s="11">
        <v>44714</v>
      </c>
      <c r="F108" s="12" t="s">
        <v>22</v>
      </c>
      <c r="G108" s="12">
        <v>44817</v>
      </c>
      <c r="H108" s="13" t="s">
        <v>23</v>
      </c>
      <c r="I108" s="2">
        <v>4000</v>
      </c>
    </row>
    <row r="109" spans="1:9">
      <c r="A109" s="9" t="s">
        <v>110</v>
      </c>
      <c r="B109" s="10" t="s">
        <v>134</v>
      </c>
      <c r="C109" s="10" t="s">
        <v>110</v>
      </c>
      <c r="D109" s="10" t="s">
        <v>25</v>
      </c>
      <c r="E109" s="11">
        <v>44714</v>
      </c>
      <c r="F109" s="12" t="s">
        <v>22</v>
      </c>
      <c r="G109" s="12">
        <v>44873</v>
      </c>
      <c r="H109" s="13" t="s">
        <v>23</v>
      </c>
      <c r="I109" s="2">
        <v>4000</v>
      </c>
    </row>
    <row r="110" spans="1:9">
      <c r="A110" s="9" t="s">
        <v>110</v>
      </c>
      <c r="B110" s="10" t="s">
        <v>135</v>
      </c>
      <c r="C110" s="10" t="s">
        <v>110</v>
      </c>
      <c r="D110" s="10" t="s">
        <v>25</v>
      </c>
      <c r="E110" s="11">
        <v>44719</v>
      </c>
      <c r="F110" s="12" t="s">
        <v>22</v>
      </c>
      <c r="G110" s="12">
        <v>44831</v>
      </c>
      <c r="H110" s="13" t="s">
        <v>23</v>
      </c>
      <c r="I110" s="2">
        <v>4000</v>
      </c>
    </row>
    <row r="111" spans="1:9">
      <c r="A111" s="9" t="s">
        <v>110</v>
      </c>
      <c r="B111" s="10" t="s">
        <v>136</v>
      </c>
      <c r="C111" s="10" t="s">
        <v>110</v>
      </c>
      <c r="D111" s="10" t="s">
        <v>25</v>
      </c>
      <c r="E111" s="11">
        <v>44719</v>
      </c>
      <c r="F111" s="12" t="s">
        <v>22</v>
      </c>
      <c r="G111" s="12">
        <v>44831</v>
      </c>
      <c r="H111" s="13" t="s">
        <v>23</v>
      </c>
      <c r="I111" s="2">
        <v>4000</v>
      </c>
    </row>
    <row r="112" spans="1:9">
      <c r="A112" s="9" t="s">
        <v>110</v>
      </c>
      <c r="B112" s="10" t="s">
        <v>137</v>
      </c>
      <c r="C112" s="10" t="s">
        <v>110</v>
      </c>
      <c r="D112" s="10" t="s">
        <v>25</v>
      </c>
      <c r="E112" s="11">
        <v>44721</v>
      </c>
      <c r="F112" s="12" t="s">
        <v>22</v>
      </c>
      <c r="G112" s="12">
        <v>44831</v>
      </c>
      <c r="H112" s="13" t="s">
        <v>23</v>
      </c>
      <c r="I112" s="2">
        <v>4000</v>
      </c>
    </row>
    <row r="113" spans="1:9">
      <c r="A113" s="9" t="s">
        <v>110</v>
      </c>
      <c r="B113" s="10" t="s">
        <v>138</v>
      </c>
      <c r="C113" s="10" t="s">
        <v>110</v>
      </c>
      <c r="D113" s="10" t="s">
        <v>25</v>
      </c>
      <c r="E113" s="11">
        <v>44721</v>
      </c>
      <c r="F113" s="12" t="s">
        <v>22</v>
      </c>
      <c r="G113" s="12">
        <v>45009</v>
      </c>
      <c r="H113" s="13" t="s">
        <v>23</v>
      </c>
      <c r="I113" s="2">
        <v>4000</v>
      </c>
    </row>
    <row r="114" spans="1:9">
      <c r="A114" s="9" t="s">
        <v>110</v>
      </c>
      <c r="B114" s="10" t="s">
        <v>139</v>
      </c>
      <c r="C114" s="10" t="s">
        <v>110</v>
      </c>
      <c r="D114" s="10" t="s">
        <v>25</v>
      </c>
      <c r="E114" s="11">
        <v>44722</v>
      </c>
      <c r="F114" s="12" t="s">
        <v>22</v>
      </c>
      <c r="G114" s="12">
        <v>44873</v>
      </c>
      <c r="H114" s="13" t="s">
        <v>23</v>
      </c>
      <c r="I114" s="2">
        <v>4000</v>
      </c>
    </row>
    <row r="115" spans="1:9">
      <c r="A115" s="9" t="s">
        <v>110</v>
      </c>
      <c r="B115" s="10" t="s">
        <v>140</v>
      </c>
      <c r="C115" s="10" t="s">
        <v>110</v>
      </c>
      <c r="D115" s="10" t="s">
        <v>25</v>
      </c>
      <c r="E115" s="11">
        <v>44803</v>
      </c>
      <c r="F115" s="12" t="s">
        <v>22</v>
      </c>
      <c r="G115" s="12">
        <v>44901</v>
      </c>
      <c r="H115" s="13" t="s">
        <v>23</v>
      </c>
      <c r="I115" s="2">
        <v>4000</v>
      </c>
    </row>
    <row r="116" spans="1:9">
      <c r="A116" s="9" t="s">
        <v>110</v>
      </c>
      <c r="B116" s="10" t="s">
        <v>141</v>
      </c>
      <c r="C116" s="10" t="s">
        <v>110</v>
      </c>
      <c r="D116" s="10" t="s">
        <v>25</v>
      </c>
      <c r="E116" s="11">
        <v>44803</v>
      </c>
      <c r="F116" s="12" t="s">
        <v>22</v>
      </c>
      <c r="G116" s="12">
        <v>44897</v>
      </c>
      <c r="H116" s="13" t="s">
        <v>23</v>
      </c>
      <c r="I116" s="2">
        <v>4000</v>
      </c>
    </row>
    <row r="117" spans="1:9">
      <c r="A117" s="9" t="s">
        <v>110</v>
      </c>
      <c r="B117" s="10" t="s">
        <v>142</v>
      </c>
      <c r="C117" s="10" t="s">
        <v>110</v>
      </c>
      <c r="D117" s="10" t="s">
        <v>25</v>
      </c>
      <c r="E117" s="11">
        <v>44804</v>
      </c>
      <c r="F117" s="12" t="s">
        <v>22</v>
      </c>
      <c r="G117" s="12">
        <v>45002</v>
      </c>
      <c r="H117" s="13" t="s">
        <v>23</v>
      </c>
      <c r="I117" s="2">
        <v>4000</v>
      </c>
    </row>
    <row r="118" spans="1:9">
      <c r="A118" s="9" t="s">
        <v>110</v>
      </c>
      <c r="B118" s="10" t="s">
        <v>143</v>
      </c>
      <c r="C118" s="10" t="s">
        <v>110</v>
      </c>
      <c r="D118" s="10" t="s">
        <v>25</v>
      </c>
      <c r="E118" s="11">
        <v>44810</v>
      </c>
      <c r="F118" s="12" t="s">
        <v>22</v>
      </c>
      <c r="G118" s="12">
        <v>44943</v>
      </c>
      <c r="H118" s="13" t="s">
        <v>23</v>
      </c>
      <c r="I118" s="2">
        <v>4000</v>
      </c>
    </row>
    <row r="119" spans="1:9">
      <c r="A119" s="9" t="s">
        <v>110</v>
      </c>
      <c r="B119" s="10" t="s">
        <v>144</v>
      </c>
      <c r="C119" s="10" t="s">
        <v>110</v>
      </c>
      <c r="D119" s="10" t="s">
        <v>25</v>
      </c>
      <c r="E119" s="11">
        <v>44845</v>
      </c>
      <c r="F119" s="12" t="s">
        <v>22</v>
      </c>
      <c r="G119" s="12">
        <v>45072</v>
      </c>
      <c r="H119" s="13" t="s">
        <v>23</v>
      </c>
      <c r="I119" s="2">
        <v>4000</v>
      </c>
    </row>
    <row r="120" spans="1:9">
      <c r="A120" s="9" t="s">
        <v>110</v>
      </c>
      <c r="B120" s="10" t="s">
        <v>145</v>
      </c>
      <c r="C120" s="10" t="s">
        <v>170</v>
      </c>
      <c r="D120" s="10" t="s">
        <v>36</v>
      </c>
      <c r="E120" s="11">
        <v>45218</v>
      </c>
      <c r="F120" s="12" t="s">
        <v>37</v>
      </c>
      <c r="G120" s="12"/>
      <c r="H120" s="13" t="s">
        <v>23</v>
      </c>
      <c r="I120" s="2">
        <v>2000</v>
      </c>
    </row>
    <row r="121" spans="1:9">
      <c r="A121" s="9" t="s">
        <v>110</v>
      </c>
      <c r="B121" s="10" t="s">
        <v>146</v>
      </c>
      <c r="C121" s="10" t="s">
        <v>110</v>
      </c>
      <c r="D121" s="10" t="s">
        <v>25</v>
      </c>
      <c r="E121" s="11">
        <v>44987</v>
      </c>
      <c r="F121" s="12" t="s">
        <v>22</v>
      </c>
      <c r="G121" s="12">
        <v>45184</v>
      </c>
      <c r="H121" s="13" t="s">
        <v>23</v>
      </c>
      <c r="I121" s="2">
        <v>4000</v>
      </c>
    </row>
    <row r="122" spans="1:9">
      <c r="A122" s="9" t="s">
        <v>110</v>
      </c>
      <c r="B122" s="10" t="s">
        <v>147</v>
      </c>
      <c r="C122" s="10" t="s">
        <v>110</v>
      </c>
      <c r="D122" s="10" t="s">
        <v>25</v>
      </c>
      <c r="E122" s="11">
        <v>44992</v>
      </c>
      <c r="F122" s="12" t="s">
        <v>22</v>
      </c>
      <c r="G122" s="12">
        <v>45149</v>
      </c>
      <c r="H122" s="13" t="s">
        <v>23</v>
      </c>
      <c r="I122" s="2">
        <v>4000</v>
      </c>
    </row>
    <row r="123" spans="1:9">
      <c r="A123" s="9" t="s">
        <v>110</v>
      </c>
      <c r="B123" s="10" t="s">
        <v>148</v>
      </c>
      <c r="C123" s="10" t="s">
        <v>110</v>
      </c>
      <c r="D123" s="10" t="s">
        <v>25</v>
      </c>
      <c r="E123" s="11">
        <v>45029</v>
      </c>
      <c r="F123" s="12" t="s">
        <v>22</v>
      </c>
      <c r="G123" s="12">
        <v>45226</v>
      </c>
      <c r="H123" s="13" t="s">
        <v>23</v>
      </c>
      <c r="I123" s="2">
        <v>4000</v>
      </c>
    </row>
    <row r="124" spans="1:9">
      <c r="A124" s="9" t="s">
        <v>110</v>
      </c>
      <c r="B124" s="10" t="s">
        <v>149</v>
      </c>
      <c r="C124" s="10" t="s">
        <v>110</v>
      </c>
      <c r="D124" s="10" t="s">
        <v>25</v>
      </c>
      <c r="E124" s="11">
        <v>45036</v>
      </c>
      <c r="F124" s="12" t="s">
        <v>22</v>
      </c>
      <c r="G124" s="12">
        <v>45265</v>
      </c>
      <c r="H124" s="13" t="s">
        <v>23</v>
      </c>
      <c r="I124" s="2">
        <v>4000</v>
      </c>
    </row>
    <row r="125" spans="1:9">
      <c r="A125" s="9" t="s">
        <v>110</v>
      </c>
      <c r="B125" s="10" t="s">
        <v>150</v>
      </c>
      <c r="C125" s="10" t="s">
        <v>110</v>
      </c>
      <c r="D125" s="10" t="s">
        <v>25</v>
      </c>
      <c r="E125" s="11">
        <v>45065</v>
      </c>
      <c r="F125" s="12" t="s">
        <v>22</v>
      </c>
      <c r="G125" s="12">
        <v>45265</v>
      </c>
      <c r="H125" s="13" t="s">
        <v>23</v>
      </c>
      <c r="I125" s="2">
        <v>4000</v>
      </c>
    </row>
    <row r="126" spans="1:9">
      <c r="A126" s="9" t="s">
        <v>110</v>
      </c>
      <c r="B126" s="10" t="s">
        <v>151</v>
      </c>
      <c r="C126" s="10" t="s">
        <v>110</v>
      </c>
      <c r="D126" s="10" t="s">
        <v>25</v>
      </c>
      <c r="E126" s="11">
        <v>45065</v>
      </c>
      <c r="F126" s="12" t="s">
        <v>22</v>
      </c>
      <c r="G126" s="12">
        <v>45226</v>
      </c>
      <c r="H126" s="13" t="s">
        <v>23</v>
      </c>
      <c r="I126" s="2">
        <v>4000</v>
      </c>
    </row>
    <row r="127" spans="1:9">
      <c r="A127" s="9" t="s">
        <v>110</v>
      </c>
      <c r="B127" s="10" t="s">
        <v>152</v>
      </c>
      <c r="C127" s="10" t="s">
        <v>110</v>
      </c>
      <c r="D127" s="10" t="s">
        <v>25</v>
      </c>
      <c r="E127" s="11">
        <v>45068</v>
      </c>
      <c r="F127" s="12" t="s">
        <v>22</v>
      </c>
      <c r="G127" s="12">
        <v>45265</v>
      </c>
      <c r="H127" s="13" t="s">
        <v>23</v>
      </c>
      <c r="I127" s="2">
        <v>4000</v>
      </c>
    </row>
    <row r="128" spans="1:9">
      <c r="A128" s="9" t="s">
        <v>110</v>
      </c>
      <c r="B128" s="10" t="s">
        <v>153</v>
      </c>
      <c r="C128" s="10" t="s">
        <v>110</v>
      </c>
      <c r="D128" s="10" t="s">
        <v>25</v>
      </c>
      <c r="E128" s="11">
        <v>45068</v>
      </c>
      <c r="F128" s="12" t="s">
        <v>22</v>
      </c>
      <c r="G128" s="12">
        <v>45177</v>
      </c>
      <c r="H128" s="13" t="s">
        <v>23</v>
      </c>
      <c r="I128" s="2">
        <v>4000</v>
      </c>
    </row>
    <row r="129" spans="1:9">
      <c r="A129" s="9" t="s">
        <v>110</v>
      </c>
      <c r="B129" s="10" t="s">
        <v>154</v>
      </c>
      <c r="C129" s="10" t="s">
        <v>110</v>
      </c>
      <c r="D129" s="10" t="s">
        <v>25</v>
      </c>
      <c r="E129" s="11">
        <v>45113</v>
      </c>
      <c r="F129" s="12" t="s">
        <v>22</v>
      </c>
      <c r="G129" s="12">
        <v>45328</v>
      </c>
      <c r="H129" s="13" t="s">
        <v>23</v>
      </c>
      <c r="I129" s="2">
        <v>4000</v>
      </c>
    </row>
    <row r="130" spans="1:9">
      <c r="A130" s="9" t="s">
        <v>110</v>
      </c>
      <c r="B130" s="10" t="s">
        <v>155</v>
      </c>
      <c r="C130" s="10" t="s">
        <v>110</v>
      </c>
      <c r="D130" s="10" t="s">
        <v>25</v>
      </c>
      <c r="E130" s="11">
        <v>45113</v>
      </c>
      <c r="F130" s="12" t="s">
        <v>22</v>
      </c>
      <c r="G130" s="12">
        <v>45373</v>
      </c>
      <c r="H130" s="13" t="s">
        <v>23</v>
      </c>
      <c r="I130" s="2">
        <v>4000</v>
      </c>
    </row>
    <row r="131" spans="1:9">
      <c r="A131" s="9" t="s">
        <v>110</v>
      </c>
      <c r="B131" s="10" t="s">
        <v>156</v>
      </c>
      <c r="C131" s="10" t="s">
        <v>110</v>
      </c>
      <c r="D131" s="10" t="s">
        <v>25</v>
      </c>
      <c r="E131" s="11">
        <v>45131</v>
      </c>
      <c r="F131" s="12" t="s">
        <v>22</v>
      </c>
      <c r="G131" s="12">
        <v>45342</v>
      </c>
      <c r="H131" s="13" t="s">
        <v>23</v>
      </c>
      <c r="I131" s="2">
        <v>4000</v>
      </c>
    </row>
    <row r="132" spans="1:9">
      <c r="A132" s="9" t="s">
        <v>110</v>
      </c>
      <c r="B132" s="10" t="s">
        <v>157</v>
      </c>
      <c r="C132" s="10" t="s">
        <v>110</v>
      </c>
      <c r="D132" s="10" t="s">
        <v>25</v>
      </c>
      <c r="E132" s="11">
        <v>45131</v>
      </c>
      <c r="F132" s="12" t="s">
        <v>22</v>
      </c>
      <c r="G132" s="12">
        <v>45359</v>
      </c>
      <c r="H132" s="13" t="s">
        <v>23</v>
      </c>
      <c r="I132" s="2">
        <v>4000</v>
      </c>
    </row>
    <row r="133" spans="1:9">
      <c r="A133" s="9" t="s">
        <v>110</v>
      </c>
      <c r="B133" s="10" t="s">
        <v>158</v>
      </c>
      <c r="C133" s="10" t="s">
        <v>110</v>
      </c>
      <c r="D133" s="10" t="s">
        <v>25</v>
      </c>
      <c r="E133" s="11">
        <v>45131</v>
      </c>
      <c r="F133" s="12" t="s">
        <v>22</v>
      </c>
      <c r="G133" s="12">
        <v>45373</v>
      </c>
      <c r="H133" s="13" t="s">
        <v>23</v>
      </c>
      <c r="I133" s="2">
        <v>4000</v>
      </c>
    </row>
    <row r="134" spans="1:9">
      <c r="A134" s="9" t="s">
        <v>110</v>
      </c>
      <c r="B134" s="10" t="s">
        <v>159</v>
      </c>
      <c r="C134" s="10" t="s">
        <v>110</v>
      </c>
      <c r="D134" s="10" t="s">
        <v>25</v>
      </c>
      <c r="E134" s="11">
        <v>45142</v>
      </c>
      <c r="F134" s="12" t="s">
        <v>22</v>
      </c>
      <c r="G134" s="12">
        <v>45373</v>
      </c>
      <c r="H134" s="13" t="s">
        <v>23</v>
      </c>
      <c r="I134" s="2">
        <v>4000</v>
      </c>
    </row>
    <row r="135" spans="1:9">
      <c r="A135" s="9" t="s">
        <v>110</v>
      </c>
      <c r="B135" s="10" t="s">
        <v>160</v>
      </c>
      <c r="C135" s="10" t="s">
        <v>110</v>
      </c>
      <c r="D135" s="10" t="s">
        <v>25</v>
      </c>
      <c r="E135" s="11">
        <v>45147</v>
      </c>
      <c r="F135" s="12" t="s">
        <v>22</v>
      </c>
      <c r="G135" s="12">
        <v>45373</v>
      </c>
      <c r="H135" s="13" t="s">
        <v>23</v>
      </c>
      <c r="I135" s="2">
        <v>4000</v>
      </c>
    </row>
    <row r="136" spans="1:9">
      <c r="A136" s="9" t="s">
        <v>110</v>
      </c>
      <c r="B136" s="10" t="s">
        <v>161</v>
      </c>
      <c r="C136" s="10" t="s">
        <v>110</v>
      </c>
      <c r="D136" s="10" t="s">
        <v>25</v>
      </c>
      <c r="E136" s="11">
        <v>45147</v>
      </c>
      <c r="F136" s="12" t="s">
        <v>22</v>
      </c>
      <c r="G136" s="12">
        <v>45373</v>
      </c>
      <c r="H136" s="13" t="s">
        <v>23</v>
      </c>
      <c r="I136" s="2">
        <v>4000</v>
      </c>
    </row>
    <row r="137" spans="1:9" s="4" customFormat="1" ht="12">
      <c r="A137" s="24" t="s">
        <v>88</v>
      </c>
      <c r="B137" s="10" t="s">
        <v>162</v>
      </c>
      <c r="C137" s="22" t="s">
        <v>88</v>
      </c>
      <c r="D137" s="23" t="s">
        <v>36</v>
      </c>
      <c r="E137" s="11">
        <v>44446</v>
      </c>
      <c r="F137" s="16" t="s">
        <v>22</v>
      </c>
      <c r="G137" s="16">
        <v>44537</v>
      </c>
      <c r="H137" s="23" t="s">
        <v>30</v>
      </c>
      <c r="I137" s="4">
        <v>10000</v>
      </c>
    </row>
  </sheetData>
  <autoFilter ref="A2:J137"/>
  <phoneticPr fontId="15" type="noConversion"/>
  <conditionalFormatting sqref="E2">
    <cfRule type="duplicateValues" dxfId="36" priority="47"/>
  </conditionalFormatting>
  <conditionalFormatting sqref="F6:F7">
    <cfRule type="cellIs" dxfId="35" priority="13" operator="notEqual">
      <formula>"授权"</formula>
    </cfRule>
  </conditionalFormatting>
  <conditionalFormatting sqref="H6:H7">
    <cfRule type="cellIs" dxfId="34" priority="12" operator="equal">
      <formula>"否"</formula>
    </cfRule>
  </conditionalFormatting>
  <conditionalFormatting sqref="F8">
    <cfRule type="cellIs" dxfId="33" priority="11" operator="notEqual">
      <formula>"授权"</formula>
    </cfRule>
  </conditionalFormatting>
  <conditionalFormatting sqref="H8">
    <cfRule type="cellIs" dxfId="32" priority="10" operator="equal">
      <formula>"否"</formula>
    </cfRule>
  </conditionalFormatting>
  <conditionalFormatting sqref="F9">
    <cfRule type="cellIs" dxfId="31" priority="9" operator="notEqual">
      <formula>"授权"</formula>
    </cfRule>
  </conditionalFormatting>
  <conditionalFormatting sqref="H9">
    <cfRule type="cellIs" dxfId="30" priority="8" operator="equal">
      <formula>"否"</formula>
    </cfRule>
  </conditionalFormatting>
  <conditionalFormatting sqref="F12">
    <cfRule type="cellIs" dxfId="29" priority="7" operator="notEqual">
      <formula>"授权"</formula>
    </cfRule>
  </conditionalFormatting>
  <conditionalFormatting sqref="H12">
    <cfRule type="cellIs" dxfId="28" priority="6" operator="equal">
      <formula>"否"</formula>
    </cfRule>
  </conditionalFormatting>
  <conditionalFormatting sqref="F13">
    <cfRule type="cellIs" dxfId="27" priority="5" operator="notEqual">
      <formula>"授权"</formula>
    </cfRule>
  </conditionalFormatting>
  <conditionalFormatting sqref="H13">
    <cfRule type="cellIs" dxfId="26" priority="4" operator="equal">
      <formula>"否"</formula>
    </cfRule>
  </conditionalFormatting>
  <conditionalFormatting sqref="F17">
    <cfRule type="cellIs" dxfId="25" priority="3" operator="notEqual">
      <formula>"授权"</formula>
    </cfRule>
  </conditionalFormatting>
  <conditionalFormatting sqref="H17">
    <cfRule type="cellIs" dxfId="24" priority="2" operator="equal">
      <formula>"否"</formula>
    </cfRule>
  </conditionalFormatting>
  <conditionalFormatting sqref="F137">
    <cfRule type="cellIs" dxfId="23" priority="41" operator="notEqual">
      <formula>"授权"</formula>
    </cfRule>
  </conditionalFormatting>
  <conditionalFormatting sqref="F138:F1048576">
    <cfRule type="cellIs" dxfId="22" priority="305" operator="notEqual">
      <formula>"授权"</formula>
    </cfRule>
  </conditionalFormatting>
  <conditionalFormatting sqref="H137:H1048576">
    <cfRule type="cellIs" dxfId="21" priority="39" operator="equal">
      <formula>"否"</formula>
    </cfRule>
  </conditionalFormatting>
  <conditionalFormatting sqref="F1:F5 F10:F11 F14:F16 F18:F136">
    <cfRule type="cellIs" dxfId="20" priority="316" operator="notEqual">
      <formula>"授权"</formula>
    </cfRule>
  </conditionalFormatting>
  <conditionalFormatting sqref="H1 H3:H5 H10:H11 H14:H16 H18:H136">
    <cfRule type="cellIs" dxfId="19" priority="43" operator="equal">
      <formula>"否"</formula>
    </cfRule>
  </conditionalFormatting>
  <conditionalFormatting sqref="B1:B1048576">
    <cfRule type="duplicateValues" dxfId="0" priority="1"/>
  </conditionalFormatting>
  <dataValidations count="2">
    <dataValidation type="list" allowBlank="1" showInputMessage="1" showErrorMessage="1" sqref="F8 F9 F12 F13 F17 F3:F7 F10:F11 F14:F16 F18:F136">
      <formula1>"授权,受理,专利权无效,专利权终止,申请撤回,申请被驳回,专利权转移,专利权许可,专利权质押"</formula1>
    </dataValidation>
    <dataValidation type="list" allowBlank="1" showInputMessage="1" showErrorMessage="1" sqref="H8 H9 H12 H13 H17 H1:H7 H10:H11 H14:H16 H18:H1048576">
      <formula1>"是,否"</formula1>
    </dataValidation>
  </dataValidations>
  <pageMargins left="0.75138888888888899" right="0.75138888888888899" top="1" bottom="1" header="0.5" footer="0.5"/>
  <pageSetup paperSize="9" fitToHeight="0" orientation="landscape"/>
  <headerFooter>
    <oddHeader>&amp;C&amp;A</oddHeader>
    <oddFooter>&amp;C第 &amp;P 页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统计!$C:$C</xm:f>
          </x14:formula1>
          <xm:sqref>A3:A136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3</vt:i4>
      </vt:variant>
    </vt:vector>
  </HeadingPairs>
  <TitlesOfParts>
    <vt:vector size="5" baseType="lpstr">
      <vt:lpstr>统计</vt:lpstr>
      <vt:lpstr>专利</vt:lpstr>
      <vt:lpstr>统计!Print_Area</vt:lpstr>
      <vt:lpstr>专利!Print_Area</vt:lpstr>
      <vt:lpstr>专利!Print_Titles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David</cp:lastModifiedBy>
  <dcterms:created xsi:type="dcterms:W3CDTF">2006-09-16T00:00:00Z</dcterms:created>
  <dcterms:modified xsi:type="dcterms:W3CDTF">2026-07-18T09:54:06Z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76A42DABDAA9463BA383FDF33E60A60B_12</vt:lpwstr>
  </property>
  <property fmtid="{D5CDD505-2E9C-101B-9397-08002B2CF9AE}" pid="3" name="KSOProductBuildVer">
    <vt:lpwstr>2052-12.1.0.20305</vt:lpwstr>
  </property>
</Properties>
</file>